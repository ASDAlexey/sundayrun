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M7" i="1" l="1"/>
  <c r="M6" i="1"/>
  <c r="L7" i="1"/>
  <c r="L6" i="1"/>
  <c r="K7" i="1"/>
  <c r="K6" i="1"/>
  <c r="E10" i="1"/>
  <c r="D10" i="1"/>
  <c r="F10" i="1" s="1"/>
  <c r="C10" i="1"/>
  <c r="E9" i="1"/>
  <c r="D9" i="1"/>
  <c r="F9" i="1" s="1"/>
  <c r="C9" i="1"/>
  <c r="E8" i="1"/>
  <c r="D8" i="1"/>
  <c r="F8" i="1" s="1"/>
  <c r="C8" i="1"/>
  <c r="E7" i="1"/>
  <c r="D7" i="1"/>
  <c r="F7" i="1" s="1"/>
  <c r="C7" i="1"/>
  <c r="E6" i="1"/>
  <c r="D6" i="1"/>
  <c r="C6" i="1"/>
  <c r="F6" i="1" s="1"/>
  <c r="D15" i="1"/>
  <c r="C15" i="1"/>
  <c r="E15" i="1"/>
  <c r="E14" i="1"/>
  <c r="D14" i="1"/>
  <c r="C14" i="1"/>
  <c r="E13" i="1"/>
  <c r="D13" i="1"/>
  <c r="C13" i="1"/>
  <c r="E12" i="1"/>
  <c r="D12" i="1"/>
  <c r="C12" i="1"/>
  <c r="E11" i="1"/>
  <c r="D11" i="1"/>
  <c r="C11" i="1"/>
  <c r="E5" i="1"/>
  <c r="D5" i="1"/>
  <c r="C5" i="1"/>
  <c r="E4" i="1"/>
  <c r="D4" i="1"/>
  <c r="C4" i="1"/>
  <c r="F15" i="1" l="1"/>
  <c r="F12" i="1"/>
  <c r="M5" i="1"/>
  <c r="L5" i="1"/>
  <c r="K5" i="1"/>
  <c r="M4" i="1"/>
  <c r="L4" i="1"/>
  <c r="K4" i="1"/>
  <c r="F14" i="1" l="1"/>
  <c r="F13" i="1"/>
  <c r="F11" i="1"/>
  <c r="N4" i="1" l="1"/>
  <c r="N5" i="1"/>
  <c r="N6" i="1"/>
  <c r="N7" i="1" l="1"/>
  <c r="F4" i="1" l="1"/>
  <c r="F5" i="1"/>
</calcChain>
</file>

<file path=xl/sharedStrings.xml><?xml version="1.0" encoding="utf-8"?>
<sst xmlns="http://schemas.openxmlformats.org/spreadsheetml/2006/main" count="40" uniqueCount="30">
  <si>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</si>
  <si>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</si>
  <si>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</si>
  <si>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</si>
  <si>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</si>
  <si>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</si>
  <si>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</si>
  <si>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</si>
  <si>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</si>
  <si>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</si>
  <si>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</si>
  <si>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</si>
  <si>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</si>
  <si>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</si>
  <si>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</si>
  <si>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</si>
  <si>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</si>
  <si>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</si>
  <si>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Сергеев Максим</t>
  </si>
  <si>
    <t>Цопкало Николай</t>
  </si>
  <si>
    <t>-</t>
  </si>
  <si>
    <t>ЛР сезона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</si>
  <si>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</si>
  <si>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</si>
  <si>
    <t>Шацкий Владислав</t>
  </si>
  <si>
    <t>Пивкин Михаил</t>
  </si>
  <si>
    <t>Кузьмин Влад</t>
  </si>
  <si>
    <t>Ерошенко Денис</t>
  </si>
  <si>
    <t>Таегян Лидия</t>
  </si>
  <si>
    <t>Кобзева Ольга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</si>
</sst>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K1" zoomScale="90" zoomScaleNormal="90" workbookViewId="0">
      <selection activeCell="N8" sqref="N8"/>
    </sheetView>
  </sheetViews>
  <sheetFormatPr defaultRowHeight="15" x14ac:dyDescent="0.25"/>
  <cols>
    <col min="1" max="1" width="7.28515625" customWidth="1"/>
    <col min="2" max="2" width="26.42578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1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16.5" thickBot="1" x14ac:dyDescent="0.3">
      <c r="A2" s="48" t="s">
        <v>0</v>
      </c>
      <c r="B2" s="50" t="s">
        <v>1</v>
      </c>
      <c r="C2" s="52" t="s">
        <v>17</v>
      </c>
      <c r="D2" s="53"/>
      <c r="E2" s="53"/>
      <c r="F2" s="54"/>
      <c r="G2" s="38" t="s">
        <v>21</v>
      </c>
      <c r="H2" s="1"/>
      <c r="I2" s="48" t="s">
        <v>0</v>
      </c>
      <c r="J2" s="50" t="s">
        <v>1</v>
      </c>
      <c r="K2" s="52" t="s">
        <v>17</v>
      </c>
      <c r="L2" s="53"/>
      <c r="M2" s="53"/>
      <c r="N2" s="54"/>
      <c r="O2" s="38" t="s">
        <v>21</v>
      </c>
    </row>
    <row r="3" spans="1:15" ht="16.5" thickBot="1" x14ac:dyDescent="0.3">
      <c r="A3" s="49"/>
      <c r="B3" s="51"/>
      <c r="C3" s="17" t="s">
        <v>2</v>
      </c>
      <c r="D3" s="18" t="s">
        <v>3</v>
      </c>
      <c r="E3" s="18" t="s">
        <v>4</v>
      </c>
      <c r="F3" s="33" t="s">
        <v>5</v>
      </c>
      <c r="G3" s="39"/>
      <c r="H3" s="1"/>
      <c r="I3" s="49"/>
      <c r="J3" s="51"/>
      <c r="K3" s="24" t="s">
        <v>2</v>
      </c>
      <c r="L3" s="25" t="s">
        <v>3</v>
      </c>
      <c r="M3" s="25" t="s">
        <v>4</v>
      </c>
      <c r="N3" s="36" t="s">
        <v>5</v>
      </c>
      <c r="O3" s="39"/>
    </row>
    <row r="4" spans="1:15" ht="15.75" x14ac:dyDescent="0.25">
      <c r="A4" s="8">
        <v>1</v>
      </c>
      <c r="B4" s="11" t="s">
        <v>6</v>
      </c>
      <c r="C4" s="3">
        <f>10+5+5+5+5+5+5+5+0+5</f>
        <v>50</v>
      </c>
      <c r="D4" s="4">
        <f>4+5+5+5+5+5+5+0+5</f>
        <v>39</v>
      </c>
      <c r="E4" s="4">
        <f>5+5+5+0+0+5+0+0+0</f>
        <v>20</v>
      </c>
      <c r="F4" s="34">
        <f t="shared" ref="F4" si="0">C4+D4+E4</f>
        <v>109</v>
      </c>
      <c r="G4" s="21">
        <v>1.298611111111111E-2</v>
      </c>
      <c r="H4" s="1"/>
      <c r="I4" s="8">
        <v>1</v>
      </c>
      <c r="J4" s="11" t="s">
        <v>12</v>
      </c>
      <c r="K4" s="5">
        <f>5+0+15+0+5+5+5</f>
        <v>35</v>
      </c>
      <c r="L4" s="2">
        <f>5+0+5+0+5+5+5</f>
        <v>25</v>
      </c>
      <c r="M4" s="2">
        <f>5+0+0+0+5+5+5</f>
        <v>20</v>
      </c>
      <c r="N4" s="35">
        <f t="shared" ref="N4" si="1">K4+L4+M4</f>
        <v>80</v>
      </c>
      <c r="O4" s="14">
        <v>1.9050925925925926E-2</v>
      </c>
    </row>
    <row r="5" spans="1:15" ht="15.75" x14ac:dyDescent="0.25">
      <c r="A5" s="9">
        <v>2</v>
      </c>
      <c r="B5" s="11" t="s">
        <v>9</v>
      </c>
      <c r="C5" s="19">
        <f>10+5+5+5+0+5+5+5+5+5</f>
        <v>50</v>
      </c>
      <c r="D5" s="20">
        <f>5+4+3+0+4+4+4+5+4</f>
        <v>33</v>
      </c>
      <c r="E5" s="20">
        <f>5+5+5+0+5+0+0+0+0</f>
        <v>20</v>
      </c>
      <c r="F5" s="37">
        <f>C5+D5+E5</f>
        <v>103</v>
      </c>
      <c r="G5" s="21">
        <v>1.3981481481481482E-2</v>
      </c>
      <c r="H5" s="1"/>
      <c r="I5" s="9">
        <v>2</v>
      </c>
      <c r="J5" s="12" t="s">
        <v>22</v>
      </c>
      <c r="K5" s="19">
        <f>5+0+0+0+5+5+0+0</f>
        <v>15</v>
      </c>
      <c r="L5" s="20">
        <f>4+0+0+0+5+0+0</f>
        <v>9</v>
      </c>
      <c r="M5" s="20">
        <f>0+0+0+0+5+0+0</f>
        <v>5</v>
      </c>
      <c r="N5" s="37">
        <f t="shared" ref="N5" si="2">K5+L5+M5</f>
        <v>29</v>
      </c>
      <c r="O5" s="14">
        <v>1.9212962962962963E-2</v>
      </c>
    </row>
    <row r="6" spans="1:15" ht="17.25" customHeight="1" x14ac:dyDescent="0.25">
      <c r="A6" s="9">
        <v>3</v>
      </c>
      <c r="B6" s="12" t="s">
        <v>18</v>
      </c>
      <c r="C6" s="5">
        <f>0+15+5+15+5+0+5+0+15</f>
        <v>60</v>
      </c>
      <c r="D6" s="2">
        <f>0+0+0+0+0+0+1+0+0</f>
        <v>1</v>
      </c>
      <c r="E6" s="2">
        <f>0+0+5+0+5+0+0+0+0</f>
        <v>10</v>
      </c>
      <c r="F6" s="35">
        <f>C6+D6+E6</f>
        <v>71</v>
      </c>
      <c r="G6" s="21">
        <v>1.8888888888888889E-2</v>
      </c>
      <c r="H6" s="1"/>
      <c r="I6" s="9">
        <v>3</v>
      </c>
      <c r="J6" s="1" t="s">
        <v>28</v>
      </c>
      <c r="K6" s="5">
        <f>5</f>
        <v>5</v>
      </c>
      <c r="L6" s="2">
        <f>5</f>
        <v>5</v>
      </c>
      <c r="M6" s="2">
        <f>5</f>
        <v>5</v>
      </c>
      <c r="N6" s="35">
        <f>K6+L6+M6</f>
        <v>15</v>
      </c>
      <c r="O6" s="14">
        <v>2.3495370370370371E-2</v>
      </c>
    </row>
    <row r="7" spans="1:15" ht="18" customHeight="1" x14ac:dyDescent="0.25">
      <c r="A7" s="9">
        <v>4</v>
      </c>
      <c r="B7" s="26" t="s">
        <v>7</v>
      </c>
      <c r="C7" s="19">
        <f>10+5+0+5+5+0+0+5+0+5</f>
        <v>35</v>
      </c>
      <c r="D7" s="2">
        <f>3+0+1+3+0+0+3+0+3</f>
        <v>13</v>
      </c>
      <c r="E7" s="2">
        <f>5+0+5+5+0+0+0+0+5</f>
        <v>20</v>
      </c>
      <c r="F7" s="35">
        <f t="shared" ref="F7" si="3">C7+D7+E7</f>
        <v>68</v>
      </c>
      <c r="G7" s="21">
        <v>1.5266203703703705E-2</v>
      </c>
      <c r="H7" s="1"/>
      <c r="I7" s="9">
        <v>4</v>
      </c>
      <c r="J7" s="1" t="s">
        <v>29</v>
      </c>
      <c r="K7" s="5">
        <f>5</f>
        <v>5</v>
      </c>
      <c r="L7" s="2">
        <f>4</f>
        <v>4</v>
      </c>
      <c r="M7" s="2">
        <f>5</f>
        <v>5</v>
      </c>
      <c r="N7" s="35">
        <f t="shared" ref="N7:N8" si="4">K7+L7+M7</f>
        <v>14</v>
      </c>
      <c r="O7" s="14">
        <v>2.3541666666666666E-2</v>
      </c>
    </row>
    <row r="8" spans="1:15" ht="15.75" x14ac:dyDescent="0.25">
      <c r="A8" s="9">
        <v>5</v>
      </c>
      <c r="B8" s="11" t="s">
        <v>16</v>
      </c>
      <c r="C8" s="19">
        <f>10+5+0+5+5+5+0+0+5+0</f>
        <v>35</v>
      </c>
      <c r="D8" s="2">
        <f>2+0+0+2+2+0+0+4+0</f>
        <v>10</v>
      </c>
      <c r="E8" s="2">
        <f>5+0+5+5+5+0+0+0+0</f>
        <v>20</v>
      </c>
      <c r="F8" s="35">
        <f>C8+D8+E8</f>
        <v>65</v>
      </c>
      <c r="G8" s="14">
        <v>1.6307870370370372E-2</v>
      </c>
      <c r="H8" s="1"/>
      <c r="I8" s="9">
        <v>5</v>
      </c>
      <c r="J8" s="11"/>
      <c r="K8" s="5"/>
      <c r="L8" s="2"/>
      <c r="M8" s="2"/>
      <c r="N8" s="35"/>
      <c r="O8" s="32" t="s">
        <v>20</v>
      </c>
    </row>
    <row r="9" spans="1:15" ht="15.75" x14ac:dyDescent="0.25">
      <c r="A9" s="9">
        <v>6</v>
      </c>
      <c r="B9" s="12" t="s">
        <v>8</v>
      </c>
      <c r="C9" s="5">
        <f>0+5+5+5+5+5+0+0+5+5</f>
        <v>35</v>
      </c>
      <c r="D9" s="2">
        <f>0+2+0+1+1+2+0+0+3+2</f>
        <v>11</v>
      </c>
      <c r="E9" s="2">
        <f>0+5+5+0+5+0+0+0+0</f>
        <v>15</v>
      </c>
      <c r="F9" s="35">
        <f t="shared" ref="F9" si="5">C9+D9+E9</f>
        <v>61</v>
      </c>
      <c r="G9" s="21">
        <v>1.6979166666666667E-2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19</v>
      </c>
      <c r="C10" s="19">
        <f>10+5+0+5+0+5+5+0+0+0</f>
        <v>30</v>
      </c>
      <c r="D10" s="2">
        <f>1+0+2+0+3+3+0+0+0</f>
        <v>9</v>
      </c>
      <c r="E10" s="2">
        <f>5+0+5+0+5+5+0+0+0</f>
        <v>20</v>
      </c>
      <c r="F10" s="35">
        <f>C10+D10+E10</f>
        <v>59</v>
      </c>
      <c r="G10" s="14">
        <v>1.4722222222222222E-2</v>
      </c>
      <c r="H10" s="1"/>
      <c r="I10" s="9">
        <v>7</v>
      </c>
      <c r="J10" s="12"/>
      <c r="K10" s="5"/>
      <c r="L10" s="2"/>
      <c r="M10" s="2"/>
      <c r="N10" s="35"/>
      <c r="O10" s="14"/>
    </row>
    <row r="11" spans="1:15" ht="15.75" x14ac:dyDescent="0.25">
      <c r="A11" s="9">
        <v>8</v>
      </c>
      <c r="B11" s="11" t="s">
        <v>10</v>
      </c>
      <c r="C11" s="19">
        <f>10+5+0+5+0+5+0+0+0+0</f>
        <v>25</v>
      </c>
      <c r="D11" s="2">
        <f>0+0+0+0+0+0+0+0+0</f>
        <v>0</v>
      </c>
      <c r="E11" s="2">
        <f>5+0+5+0+5+0+0+0+0</f>
        <v>15</v>
      </c>
      <c r="F11" s="35">
        <f>C11+D11+E11</f>
        <v>40</v>
      </c>
      <c r="G11" s="14">
        <v>1.7997685185185186E-2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1" t="s">
        <v>24</v>
      </c>
      <c r="C12" s="5">
        <f>0+5+5+5+0+0+0+0+0</f>
        <v>15</v>
      </c>
      <c r="D12" s="2">
        <f>0+3+4+4+0+0+0+0+0</f>
        <v>11</v>
      </c>
      <c r="E12" s="2">
        <f>0+5+5+0+0+0+0+0+0</f>
        <v>10</v>
      </c>
      <c r="F12" s="35">
        <f t="shared" ref="F12" si="6">C12+D12+E12</f>
        <v>36</v>
      </c>
      <c r="G12" s="21">
        <v>1.4016203703703704E-2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2" t="s">
        <v>25</v>
      </c>
      <c r="C13" s="5">
        <f>0+0+5+0+5+0+0+0+0</f>
        <v>10</v>
      </c>
      <c r="D13" s="2">
        <f>0+0+0+0+0+0+0+0+0</f>
        <v>0</v>
      </c>
      <c r="E13" s="2">
        <f>0+0+5+0+5+0+0+0+0</f>
        <v>10</v>
      </c>
      <c r="F13" s="35">
        <f t="shared" ref="F13" si="7">C13+D13+E13</f>
        <v>20</v>
      </c>
      <c r="G13" s="21">
        <v>1.7245370370370369E-2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2" t="s">
        <v>26</v>
      </c>
      <c r="C14" s="5">
        <f>0+0+0+0+0+0+0+5+0+5</f>
        <v>10</v>
      </c>
      <c r="D14" s="2">
        <f>0+0+0+0+0+0+0+2+0+0</f>
        <v>2</v>
      </c>
      <c r="E14" s="2">
        <f>0+0+0+0+0+0+0+5+0+0</f>
        <v>5</v>
      </c>
      <c r="F14" s="35">
        <f t="shared" ref="F14" si="8">C14+D14+E14</f>
        <v>17</v>
      </c>
      <c r="G14" s="21">
        <v>1.8159722222222219E-2</v>
      </c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2" t="s">
        <v>27</v>
      </c>
      <c r="C15" s="5">
        <f>0+0+0+0+0+0+0+0+0+5</f>
        <v>5</v>
      </c>
      <c r="D15" s="2">
        <f>0+0+0+0+0+0+0+0+0+0</f>
        <v>0</v>
      </c>
      <c r="E15" s="2">
        <f>0+0+0+0+0+0+0+5+0+0</f>
        <v>5</v>
      </c>
      <c r="F15" s="35">
        <f t="shared" ref="F15" si="9">C15+D15+E15</f>
        <v>10</v>
      </c>
      <c r="G15" s="21">
        <v>1.8124999999999999E-2</v>
      </c>
      <c r="H15" s="1"/>
      <c r="I15" s="10">
        <v>12</v>
      </c>
      <c r="J15" s="13"/>
      <c r="K15" s="6"/>
      <c r="L15" s="7"/>
      <c r="M15" s="7"/>
      <c r="N15" s="15"/>
      <c r="O15" s="23"/>
    </row>
    <row r="16" spans="1:15" ht="16.5" thickBot="1" x14ac:dyDescent="0.3">
      <c r="B16" s="11"/>
      <c r="C16" s="19"/>
      <c r="D16" s="2"/>
      <c r="E16" s="2"/>
      <c r="F16" s="35"/>
      <c r="G16" s="14"/>
    </row>
    <row r="17" spans="1:9" ht="15.75" thickBot="1" x14ac:dyDescent="0.3">
      <c r="F17" s="42" t="s">
        <v>13</v>
      </c>
      <c r="G17" s="43"/>
      <c r="H17" s="44"/>
      <c r="I17" s="31" t="s">
        <v>17</v>
      </c>
    </row>
    <row r="18" spans="1:9" x14ac:dyDescent="0.25">
      <c r="F18" s="55" t="s">
        <v>2</v>
      </c>
      <c r="G18" s="56"/>
      <c r="H18" s="57"/>
      <c r="I18" s="30">
        <v>5</v>
      </c>
    </row>
    <row r="19" spans="1:9" ht="15" customHeight="1" x14ac:dyDescent="0.25">
      <c r="F19" s="61" t="s">
        <v>14</v>
      </c>
      <c r="G19" s="62"/>
      <c r="H19" s="27">
        <v>1</v>
      </c>
      <c r="I19" s="28">
        <v>5</v>
      </c>
    </row>
    <row r="20" spans="1:9" ht="16.5" customHeight="1" x14ac:dyDescent="0.25">
      <c r="F20" s="63"/>
      <c r="G20" s="64"/>
      <c r="H20" s="27">
        <v>2</v>
      </c>
      <c r="I20" s="28">
        <v>4</v>
      </c>
    </row>
    <row r="21" spans="1:9" x14ac:dyDescent="0.25">
      <c r="A21" s="40"/>
      <c r="B21" s="40"/>
      <c r="F21" s="63"/>
      <c r="G21" s="64"/>
      <c r="H21" s="27">
        <v>3</v>
      </c>
      <c r="I21" s="28">
        <v>3</v>
      </c>
    </row>
    <row r="22" spans="1:9" x14ac:dyDescent="0.25">
      <c r="F22" s="63"/>
      <c r="G22" s="64"/>
      <c r="H22" s="27">
        <v>4</v>
      </c>
      <c r="I22" s="28">
        <v>2</v>
      </c>
    </row>
    <row r="23" spans="1:9" x14ac:dyDescent="0.25">
      <c r="F23" s="65"/>
      <c r="G23" s="66"/>
      <c r="H23" s="27">
        <v>5</v>
      </c>
      <c r="I23" s="28">
        <v>1</v>
      </c>
    </row>
    <row r="24" spans="1:9" ht="47.25" customHeight="1" x14ac:dyDescent="0.25">
      <c r="F24" s="58" t="s">
        <v>11</v>
      </c>
      <c r="G24" s="59"/>
      <c r="H24" s="60"/>
      <c r="I24" s="28">
        <v>5</v>
      </c>
    </row>
    <row r="25" spans="1:9" ht="30" customHeight="1" thickBot="1" x14ac:dyDescent="0.3">
      <c r="F25" s="45" t="s">
        <v>15</v>
      </c>
      <c r="G25" s="46"/>
      <c r="H25" s="47"/>
      <c r="I25" s="29">
        <v>15</v>
      </c>
    </row>
    <row r="27" spans="1:9" ht="15.75" x14ac:dyDescent="0.25">
      <c r="B27" s="11"/>
      <c r="C27" s="5"/>
      <c r="D27" s="2"/>
      <c r="E27" s="2"/>
      <c r="F27" s="35"/>
      <c r="G27" s="21"/>
    </row>
    <row r="28" spans="1:9" ht="15.75" x14ac:dyDescent="0.25">
      <c r="B28" s="26"/>
      <c r="C28" s="19"/>
      <c r="D28" s="2"/>
      <c r="E28" s="2"/>
      <c r="F28" s="35"/>
      <c r="G28" s="21"/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2019-04-22T04:51:09Z</dcterms:modified>
</cp:coreProperties>
</file>