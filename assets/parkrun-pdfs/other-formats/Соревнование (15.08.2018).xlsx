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E7" i="1" l="1"/>
  <c r="D7" i="1"/>
  <c r="C7" i="1"/>
  <c r="F7" i="1" s="1"/>
  <c r="C8" i="1"/>
  <c r="F8" i="1" s="1"/>
  <c r="D8" i="1"/>
  <c r="E8" i="1"/>
  <c r="C9" i="1"/>
  <c r="F9" i="1" s="1"/>
  <c r="D9" i="1"/>
  <c r="E9" i="1"/>
  <c r="C10" i="1"/>
  <c r="F10" i="1" s="1"/>
  <c r="D10" i="1"/>
  <c r="E10" i="1"/>
  <c r="L4" i="1"/>
  <c r="K4" i="1"/>
  <c r="J4" i="1"/>
  <c r="L5" i="1"/>
  <c r="K5" i="1"/>
  <c r="J5" i="1"/>
  <c r="M7" i="1"/>
  <c r="M6" i="1"/>
  <c r="M8" i="1"/>
  <c r="M9" i="1"/>
  <c r="M10" i="1"/>
  <c r="M11" i="1"/>
  <c r="M12" i="1"/>
  <c r="M13" i="1"/>
  <c r="M14" i="1"/>
  <c r="M15" i="1"/>
  <c r="C6" i="1"/>
  <c r="F6" i="1" s="1"/>
  <c r="C5" i="1"/>
  <c r="C4" i="1"/>
  <c r="E5" i="1"/>
  <c r="E4" i="1"/>
  <c r="D4" i="1"/>
  <c r="D5" i="1"/>
  <c r="D6" i="1"/>
  <c r="F4" i="1" l="1"/>
  <c r="F5" i="1"/>
  <c r="M4" i="1"/>
  <c r="M5" i="1"/>
</calcChain>
</file>

<file path=xl/sharedStrings.xml><?xml version="1.0" encoding="utf-8"?>
<sst xmlns="http://schemas.openxmlformats.org/spreadsheetml/2006/main" count="30" uniqueCount="21">
  <si>
    <t>Место</t>
  </si>
  <si>
    <t>Участник</t>
  </si>
  <si>
    <t>Участие</t>
  </si>
  <si>
    <t>Места</t>
  </si>
  <si>
    <t>ЛР</t>
  </si>
  <si>
    <t>Сумма</t>
  </si>
  <si>
    <t>Кияшко Дмитрий</t>
  </si>
  <si>
    <t>Куловеров Владимир</t>
  </si>
  <si>
    <t>Дзюбак Сергей</t>
  </si>
  <si>
    <t>Илларионов Денис</t>
  </si>
  <si>
    <t>Юрьев Евгений</t>
  </si>
  <si>
    <t>Курд Олег</t>
  </si>
  <si>
    <t>Личный рекорд/Первое посещение в рамках соревнования</t>
  </si>
  <si>
    <t>Назарова Вероника</t>
  </si>
  <si>
    <t>Третьякова Мария</t>
  </si>
  <si>
    <t>Соревнование между участниками воскресных парковых пробегов в ПКиО им. Горького в г. Таганроге (данные актуальные на 15.08.2018)</t>
  </si>
  <si>
    <t>Действие</t>
  </si>
  <si>
    <t>Занятое место</t>
  </si>
  <si>
    <t>Волонтер (засекающий время)</t>
  </si>
  <si>
    <t>Чередниченко Александр</t>
  </si>
  <si>
    <t>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</si>
</sst>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zoomScale="90" zoomScaleNormal="90" workbookViewId="0">
      <selection activeCell="J3" sqref="J3"/>
    </sheetView>
  </sheetViews>
  <sheetFormatPr defaultRowHeight="15" x14ac:dyDescent="0.25"/>
  <cols>
    <col min="1" max="1" width="7.28515625" customWidth="1"/>
    <col min="2" max="2" width="25.5703125" customWidth="1"/>
    <col min="7" max="7" width="6" customWidth="1"/>
    <col min="9" max="9" width="33.28515625" customWidth="1"/>
  </cols>
  <sheetData>
    <row r="1" spans="1:13" ht="15.75" x14ac:dyDescent="0.2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.75" x14ac:dyDescent="0.25">
      <c r="A2" s="12" t="s">
        <v>0</v>
      </c>
      <c r="B2" s="12" t="s">
        <v>1</v>
      </c>
      <c r="C2" s="13" t="s">
        <v>20</v>
      </c>
      <c r="D2" s="13"/>
      <c r="E2" s="13"/>
      <c r="F2" s="13"/>
      <c r="G2" s="3"/>
      <c r="H2" s="12" t="s">
        <v>0</v>
      </c>
      <c r="I2" s="12" t="s">
        <v>1</v>
      </c>
      <c r="J2" s="13" t="s">
        <v>20</v>
      </c>
      <c r="K2" s="13"/>
      <c r="L2" s="13"/>
      <c r="M2" s="13"/>
    </row>
    <row r="3" spans="1:13" ht="15.75" x14ac:dyDescent="0.25">
      <c r="A3" s="12"/>
      <c r="B3" s="12"/>
      <c r="C3" s="4" t="s">
        <v>2</v>
      </c>
      <c r="D3" s="4" t="s">
        <v>3</v>
      </c>
      <c r="E3" s="4" t="s">
        <v>4</v>
      </c>
      <c r="F3" s="4" t="s">
        <v>5</v>
      </c>
      <c r="G3" s="3"/>
      <c r="H3" s="12"/>
      <c r="I3" s="12"/>
      <c r="J3" s="5" t="s">
        <v>2</v>
      </c>
      <c r="K3" s="5" t="s">
        <v>3</v>
      </c>
      <c r="L3" s="5" t="s">
        <v>4</v>
      </c>
      <c r="M3" s="5" t="s">
        <v>5</v>
      </c>
    </row>
    <row r="4" spans="1:13" ht="15.75" x14ac:dyDescent="0.25">
      <c r="A4" s="4">
        <v>1</v>
      </c>
      <c r="B4" s="1" t="s">
        <v>6</v>
      </c>
      <c r="C4" s="4">
        <f>5+5</f>
        <v>10</v>
      </c>
      <c r="D4" s="4">
        <f>5+5</f>
        <v>10</v>
      </c>
      <c r="E4" s="4">
        <f>5+5</f>
        <v>10</v>
      </c>
      <c r="F4" s="4">
        <f t="shared" ref="F4:F10" si="0">C4+D4+E4</f>
        <v>30</v>
      </c>
      <c r="G4" s="3"/>
      <c r="H4" s="4">
        <v>1</v>
      </c>
      <c r="I4" s="1" t="s">
        <v>14</v>
      </c>
      <c r="J4" s="4">
        <f>5+5</f>
        <v>10</v>
      </c>
      <c r="K4" s="4">
        <f>4+0</f>
        <v>4</v>
      </c>
      <c r="L4" s="4">
        <f>5+0</f>
        <v>5</v>
      </c>
      <c r="M4" s="4">
        <f t="shared" ref="M4" si="1">J4+K4+L4</f>
        <v>19</v>
      </c>
    </row>
    <row r="5" spans="1:13" ht="15.75" x14ac:dyDescent="0.25">
      <c r="A5" s="4">
        <v>2</v>
      </c>
      <c r="B5" s="1" t="s">
        <v>7</v>
      </c>
      <c r="C5" s="4">
        <f>5+5</f>
        <v>10</v>
      </c>
      <c r="D5" s="4">
        <f>3+4</f>
        <v>7</v>
      </c>
      <c r="E5" s="4">
        <f>5+5</f>
        <v>10</v>
      </c>
      <c r="F5" s="4">
        <f t="shared" si="0"/>
        <v>27</v>
      </c>
      <c r="G5" s="3"/>
      <c r="H5" s="4">
        <v>2</v>
      </c>
      <c r="I5" s="1" t="s">
        <v>13</v>
      </c>
      <c r="J5" s="4">
        <f>5+0</f>
        <v>5</v>
      </c>
      <c r="K5" s="4">
        <f>5+0</f>
        <v>5</v>
      </c>
      <c r="L5" s="4">
        <f>5+0</f>
        <v>5</v>
      </c>
      <c r="M5" s="4">
        <f>J5+K5+L5</f>
        <v>15</v>
      </c>
    </row>
    <row r="6" spans="1:13" ht="17.25" customHeight="1" x14ac:dyDescent="0.25">
      <c r="A6" s="4">
        <v>3</v>
      </c>
      <c r="B6" s="1" t="s">
        <v>8</v>
      </c>
      <c r="C6" s="4">
        <f>5+5</f>
        <v>10</v>
      </c>
      <c r="D6" s="4">
        <f>2+3</f>
        <v>5</v>
      </c>
      <c r="E6" s="4">
        <v>10</v>
      </c>
      <c r="F6" s="4">
        <f t="shared" si="0"/>
        <v>25</v>
      </c>
      <c r="G6" s="3"/>
      <c r="H6" s="4">
        <v>3</v>
      </c>
      <c r="I6" s="1"/>
      <c r="J6" s="4"/>
      <c r="K6" s="4"/>
      <c r="L6" s="4"/>
      <c r="M6" s="4">
        <f t="shared" ref="M6:M15" si="2">J6+K6+L6</f>
        <v>0</v>
      </c>
    </row>
    <row r="7" spans="1:13" ht="18" customHeight="1" x14ac:dyDescent="0.25">
      <c r="A7" s="4">
        <v>4</v>
      </c>
      <c r="B7" s="1" t="s">
        <v>19</v>
      </c>
      <c r="C7" s="4">
        <f>15+0</f>
        <v>15</v>
      </c>
      <c r="D7" s="4">
        <f>0+0</f>
        <v>0</v>
      </c>
      <c r="E7" s="4">
        <f>0+0</f>
        <v>0</v>
      </c>
      <c r="F7" s="4">
        <f t="shared" si="0"/>
        <v>15</v>
      </c>
      <c r="G7" s="3"/>
      <c r="H7" s="4">
        <v>4</v>
      </c>
      <c r="I7" s="1"/>
      <c r="J7" s="4"/>
      <c r="K7" s="4"/>
      <c r="L7" s="4"/>
      <c r="M7" s="4">
        <f t="shared" ref="M7" si="3">J7+K7+L7</f>
        <v>0</v>
      </c>
    </row>
    <row r="8" spans="1:13" ht="15.75" x14ac:dyDescent="0.25">
      <c r="A8" s="4">
        <v>5</v>
      </c>
      <c r="B8" s="1" t="s">
        <v>10</v>
      </c>
      <c r="C8" s="4">
        <f>5+0</f>
        <v>5</v>
      </c>
      <c r="D8" s="4">
        <f>4+0</f>
        <v>4</v>
      </c>
      <c r="E8" s="4">
        <f>5+0</f>
        <v>5</v>
      </c>
      <c r="F8" s="4">
        <f t="shared" si="0"/>
        <v>14</v>
      </c>
      <c r="G8" s="3"/>
      <c r="H8" s="4">
        <v>5</v>
      </c>
      <c r="I8" s="5"/>
      <c r="J8" s="4"/>
      <c r="K8" s="4"/>
      <c r="L8" s="4"/>
      <c r="M8" s="4">
        <f t="shared" si="2"/>
        <v>0</v>
      </c>
    </row>
    <row r="9" spans="1:13" ht="15.75" x14ac:dyDescent="0.25">
      <c r="A9" s="4">
        <v>6</v>
      </c>
      <c r="B9" s="1" t="s">
        <v>9</v>
      </c>
      <c r="C9" s="4">
        <f>0+5</f>
        <v>5</v>
      </c>
      <c r="D9" s="4">
        <f>0+2</f>
        <v>2</v>
      </c>
      <c r="E9" s="4">
        <f>0+5</f>
        <v>5</v>
      </c>
      <c r="F9" s="4">
        <f t="shared" si="0"/>
        <v>12</v>
      </c>
      <c r="G9" s="3"/>
      <c r="H9" s="4">
        <v>6</v>
      </c>
      <c r="I9" s="5"/>
      <c r="J9" s="4"/>
      <c r="K9" s="4"/>
      <c r="L9" s="4"/>
      <c r="M9" s="4">
        <f t="shared" si="2"/>
        <v>0</v>
      </c>
    </row>
    <row r="10" spans="1:13" ht="15.75" x14ac:dyDescent="0.25">
      <c r="A10" s="4">
        <v>7</v>
      </c>
      <c r="B10" s="1" t="s">
        <v>11</v>
      </c>
      <c r="C10" s="4">
        <f>5+0</f>
        <v>5</v>
      </c>
      <c r="D10" s="4">
        <f>1+0</f>
        <v>1</v>
      </c>
      <c r="E10" s="4">
        <f>5+0</f>
        <v>5</v>
      </c>
      <c r="F10" s="4">
        <f t="shared" si="0"/>
        <v>11</v>
      </c>
      <c r="G10" s="3"/>
      <c r="H10" s="4">
        <v>7</v>
      </c>
      <c r="I10" s="5"/>
      <c r="J10" s="4"/>
      <c r="K10" s="4"/>
      <c r="L10" s="4"/>
      <c r="M10" s="4">
        <f t="shared" si="2"/>
        <v>0</v>
      </c>
    </row>
    <row r="11" spans="1:13" ht="15.75" x14ac:dyDescent="0.25">
      <c r="A11" s="4">
        <v>8</v>
      </c>
      <c r="B11" s="5"/>
      <c r="C11" s="5"/>
      <c r="D11" s="5"/>
      <c r="E11" s="5"/>
      <c r="F11" s="5"/>
      <c r="G11" s="3"/>
      <c r="H11" s="4">
        <v>8</v>
      </c>
      <c r="I11" s="5"/>
      <c r="J11" s="4"/>
      <c r="K11" s="4"/>
      <c r="L11" s="4"/>
      <c r="M11" s="4">
        <f t="shared" si="2"/>
        <v>0</v>
      </c>
    </row>
    <row r="12" spans="1:13" ht="15.75" x14ac:dyDescent="0.25">
      <c r="A12" s="4">
        <v>9</v>
      </c>
      <c r="B12" s="5"/>
      <c r="C12" s="5"/>
      <c r="D12" s="5"/>
      <c r="E12" s="5"/>
      <c r="F12" s="5"/>
      <c r="G12" s="3"/>
      <c r="H12" s="4">
        <v>9</v>
      </c>
      <c r="I12" s="5"/>
      <c r="J12" s="4"/>
      <c r="K12" s="4"/>
      <c r="L12" s="4"/>
      <c r="M12" s="4">
        <f t="shared" si="2"/>
        <v>0</v>
      </c>
    </row>
    <row r="13" spans="1:13" ht="15.75" x14ac:dyDescent="0.25">
      <c r="A13" s="4">
        <v>10</v>
      </c>
      <c r="B13" s="5"/>
      <c r="C13" s="5"/>
      <c r="D13" s="5"/>
      <c r="E13" s="5"/>
      <c r="F13" s="5"/>
      <c r="G13" s="3"/>
      <c r="H13" s="4">
        <v>10</v>
      </c>
      <c r="I13" s="5"/>
      <c r="J13" s="4"/>
      <c r="K13" s="4"/>
      <c r="L13" s="4"/>
      <c r="M13" s="4">
        <f t="shared" si="2"/>
        <v>0</v>
      </c>
    </row>
    <row r="14" spans="1:13" ht="15.75" x14ac:dyDescent="0.25">
      <c r="A14" s="4">
        <v>11</v>
      </c>
      <c r="B14" s="5"/>
      <c r="C14" s="5"/>
      <c r="D14" s="5"/>
      <c r="E14" s="5"/>
      <c r="F14" s="5"/>
      <c r="G14" s="3"/>
      <c r="H14" s="4">
        <v>11</v>
      </c>
      <c r="I14" s="5"/>
      <c r="J14" s="4"/>
      <c r="K14" s="4"/>
      <c r="L14" s="4"/>
      <c r="M14" s="4">
        <f t="shared" si="2"/>
        <v>0</v>
      </c>
    </row>
    <row r="15" spans="1:13" ht="15.75" x14ac:dyDescent="0.25">
      <c r="A15" s="4">
        <v>12</v>
      </c>
      <c r="B15" s="5"/>
      <c r="C15" s="5"/>
      <c r="D15" s="5"/>
      <c r="E15" s="5"/>
      <c r="F15" s="5"/>
      <c r="G15" s="3"/>
      <c r="H15" s="4">
        <v>12</v>
      </c>
      <c r="I15" s="5"/>
      <c r="J15" s="4"/>
      <c r="K15" s="4"/>
      <c r="L15" s="4"/>
      <c r="M15" s="4">
        <f t="shared" si="2"/>
        <v>0</v>
      </c>
    </row>
    <row r="17" spans="1:8" x14ac:dyDescent="0.25">
      <c r="F17" s="10" t="s">
        <v>16</v>
      </c>
      <c r="G17" s="10"/>
      <c r="H17" s="6" t="s">
        <v>20</v>
      </c>
    </row>
    <row r="18" spans="1:8" x14ac:dyDescent="0.25">
      <c r="F18" s="17" t="s">
        <v>2</v>
      </c>
      <c r="G18" s="17"/>
      <c r="H18" s="2">
        <v>5</v>
      </c>
    </row>
    <row r="19" spans="1:8" x14ac:dyDescent="0.25">
      <c r="F19" s="14" t="s">
        <v>17</v>
      </c>
      <c r="G19" s="2">
        <v>1</v>
      </c>
      <c r="H19" s="2">
        <v>5</v>
      </c>
    </row>
    <row r="20" spans="1:8" ht="28.5" customHeight="1" x14ac:dyDescent="0.25">
      <c r="F20" s="15"/>
      <c r="G20" s="2">
        <v>2</v>
      </c>
      <c r="H20" s="2">
        <v>4</v>
      </c>
    </row>
    <row r="21" spans="1:8" x14ac:dyDescent="0.25">
      <c r="A21" s="8"/>
      <c r="B21" s="8"/>
      <c r="F21" s="15"/>
      <c r="G21" s="2">
        <v>3</v>
      </c>
      <c r="H21" s="2">
        <v>3</v>
      </c>
    </row>
    <row r="22" spans="1:8" x14ac:dyDescent="0.25">
      <c r="F22" s="15"/>
      <c r="G22" s="2">
        <v>4</v>
      </c>
      <c r="H22" s="2">
        <v>2</v>
      </c>
    </row>
    <row r="23" spans="1:8" x14ac:dyDescent="0.25">
      <c r="F23" s="16"/>
      <c r="G23" s="2">
        <v>5</v>
      </c>
      <c r="H23" s="2">
        <v>1</v>
      </c>
    </row>
    <row r="24" spans="1:8" ht="75" customHeight="1" x14ac:dyDescent="0.25">
      <c r="F24" s="11" t="s">
        <v>12</v>
      </c>
      <c r="G24" s="11"/>
      <c r="H24" s="2">
        <v>5</v>
      </c>
    </row>
    <row r="25" spans="1:8" ht="44.25" customHeight="1" x14ac:dyDescent="0.25">
      <c r="F25" s="11" t="s">
        <v>18</v>
      </c>
      <c r="G25" s="11"/>
      <c r="H25" s="7">
        <v>15</v>
      </c>
    </row>
  </sheetData>
  <mergeCells count="13">
    <mergeCell ref="A21:B21"/>
    <mergeCell ref="A1:M1"/>
    <mergeCell ref="F17:G17"/>
    <mergeCell ref="F25:G25"/>
    <mergeCell ref="H2:H3"/>
    <mergeCell ref="I2:I3"/>
    <mergeCell ref="J2:M2"/>
    <mergeCell ref="F19:F23"/>
    <mergeCell ref="F18:G18"/>
    <mergeCell ref="F24:G24"/>
    <mergeCell ref="C2:F2"/>
    <mergeCell ref="B2:B3"/>
    <mergeCell ref="A2:A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2018-08-15T19:26:09Z</dcterms:modified>
</cp:coreProperties>
</file>