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326"/>
  <workbookPr filterPrivacy="1" defaultThemeVersion="124226"/>
  <bookViews>
    <workbookView xWindow="0" yWindow="0" windowWidth="10530" windowHeight="4455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Лист1!$A$1:$P$69</definedName>
  </definedNames>
  <calcPr calcId="162913"/>
</workbook>
</file>

<file path=xl/calcChain.xml><?xml version="1.0" encoding="utf-8"?>
<calcChain xmlns="http://schemas.openxmlformats.org/spreadsheetml/2006/main">
  <c r="P20" i="1" l="1"/>
  <c r="S19" i="2"/>
  <c r="L17" i="1"/>
  <c r="P17" i="1" s="1"/>
  <c r="Q5" i="2"/>
  <c r="M5" i="2"/>
  <c r="P18" i="1"/>
  <c r="Q12" i="2"/>
  <c r="P12" i="1"/>
  <c r="J8" i="2"/>
  <c r="P10" i="1"/>
  <c r="J20" i="2"/>
  <c r="H25" i="1"/>
  <c r="H24" i="1"/>
  <c r="H23" i="1"/>
  <c r="H29" i="1"/>
  <c r="H22" i="1"/>
  <c r="H20" i="1"/>
  <c r="H18" i="1"/>
  <c r="H12" i="1"/>
  <c r="H10" i="1"/>
  <c r="H13" i="1"/>
  <c r="P7" i="1"/>
  <c r="P8" i="1"/>
  <c r="P11" i="1"/>
  <c r="P13" i="1"/>
  <c r="P14" i="1"/>
  <c r="P15" i="1"/>
  <c r="P16" i="1"/>
  <c r="P22" i="1"/>
  <c r="P21" i="1"/>
  <c r="P19" i="1"/>
  <c r="M9" i="1"/>
  <c r="L9" i="1"/>
  <c r="L5" i="1"/>
  <c r="P5" i="1" s="1"/>
  <c r="L6" i="1"/>
  <c r="P6" i="1" s="1"/>
  <c r="H14" i="1"/>
  <c r="H16" i="1"/>
  <c r="H17" i="1"/>
  <c r="H21" i="1"/>
  <c r="H32" i="1"/>
  <c r="H26" i="1"/>
  <c r="H27" i="1"/>
  <c r="H28" i="1"/>
  <c r="H30" i="1"/>
  <c r="H31" i="1"/>
  <c r="D19" i="1"/>
  <c r="H19" i="1" s="1"/>
  <c r="L4" i="1"/>
  <c r="D6" i="1"/>
  <c r="H6" i="1" s="1"/>
  <c r="D9" i="1"/>
  <c r="H9" i="1" s="1"/>
  <c r="D15" i="1"/>
  <c r="H15" i="1" s="1"/>
  <c r="D7" i="1"/>
  <c r="H7" i="1" s="1"/>
  <c r="D8" i="1"/>
  <c r="H8" i="1" s="1"/>
  <c r="E11" i="1"/>
  <c r="D11" i="1"/>
  <c r="H11" i="1" s="1"/>
  <c r="D5" i="1"/>
  <c r="H5" i="1" s="1"/>
  <c r="P9" i="1" l="1"/>
  <c r="P4" i="1"/>
  <c r="H4" i="1"/>
</calcChain>
</file>

<file path=xl/sharedStrings.xml><?xml version="1.0" encoding="utf-8"?>
<sst xmlns="http://schemas.openxmlformats.org/spreadsheetml/2006/main" count="137" uniqueCount="103">
  <si>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</si>
  <si>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</si>
  <si>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</si>
  <si>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</si>
  <si>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</si>
  <si>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</si>
  <si>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</si>
  <si>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</si>
  <si>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</si>
  <si>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</si>
  <si>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</si>
  <si>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</si>
  <si>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</si>
  <si>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</si>
  <si>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</si>
  <si>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</si>
  <si>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</si>
  <si>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</si>
  <si>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</si>
  <si>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</si>
  <si>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</si>
  <si>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</si>
  <si>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</si>
  <si>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</si>
  <si>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</si>
  <si>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</si>
  <si>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</si>
  <si>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</si>
  <si>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</si>
  <si>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</si>
  <si>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</si>
  <si>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</si>
  <si>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</si>
  <si>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</si>
  <si>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</si>
  <si>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</si>
  <si>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</si>
  <si>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</si>
  <si>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</si>
  <si>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</si>
  <si>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</si>
  <si>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</si>
  <si>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Фаустов</t>
  </si>
  <si>
    <t>Игорь</t>
  </si>
  <si>
    <t>Людмила</t>
  </si>
  <si>
    <t>Кузьмин</t>
  </si>
  <si>
    <t>Владислав</t>
  </si>
  <si>
    <t>Бондаренко</t>
  </si>
  <si>
    <t>Зайцев</t>
  </si>
  <si>
    <t>Якунин</t>
  </si>
  <si>
    <t>Плетнева</t>
  </si>
  <si>
    <t>Юлия</t>
  </si>
  <si>
    <t>Лозинский</t>
  </si>
  <si>
    <t>Олег</t>
  </si>
  <si>
    <t xml:space="preserve">Кочерга </t>
  </si>
  <si>
    <t>Полина</t>
  </si>
  <si>
    <t>Татарова</t>
  </si>
  <si>
    <t>Светлана</t>
  </si>
  <si>
    <t>Димирель</t>
  </si>
  <si>
    <t>Александра</t>
  </si>
  <si>
    <t>Бухтоярова</t>
  </si>
  <si>
    <t>Анастасия</t>
  </si>
  <si>
    <t>Бойко</t>
  </si>
  <si>
    <t>Татьяна</t>
  </si>
  <si>
    <t>Иванова</t>
  </si>
  <si>
    <t>Оксана</t>
  </si>
  <si>
    <t>Третьякова</t>
  </si>
  <si>
    <t>Мария</t>
  </si>
  <si>
    <t>Евгений</t>
  </si>
  <si>
    <t>Мелихов</t>
  </si>
  <si>
    <t>Виктор</t>
  </si>
  <si>
    <t>Хахахась</t>
  </si>
  <si>
    <t>Алексей</t>
  </si>
  <si>
    <t>1 место</t>
  </si>
  <si>
    <t>2 место</t>
  </si>
  <si>
    <t>3 место</t>
  </si>
  <si>
    <t>Башенин</t>
  </si>
  <si>
    <t xml:space="preserve">Бусаргин </t>
  </si>
  <si>
    <t>Александр</t>
  </si>
  <si>
    <t>Бордюгова</t>
  </si>
  <si>
    <t>Перцева</t>
  </si>
  <si>
    <t>Кристина</t>
  </si>
  <si>
    <t>Вайсбен</t>
  </si>
  <si>
    <t>Екатерина</t>
  </si>
  <si>
    <t>Марахонич</t>
  </si>
  <si>
    <t>Алена</t>
  </si>
  <si>
    <t>Березина</t>
  </si>
  <si>
    <t>Марчевский</t>
  </si>
  <si>
    <t>Андрей</t>
  </si>
  <si>
    <t>Губарев</t>
  </si>
  <si>
    <t>Соколянская</t>
  </si>
  <si>
    <t>Ярославна</t>
  </si>
  <si>
    <t>Колпаченко</t>
  </si>
  <si>
    <t>Башенина</t>
  </si>
  <si>
    <t>Ирина</t>
  </si>
  <si>
    <t>Михеев</t>
  </si>
  <si>
    <t>Павел</t>
  </si>
  <si>
    <t>Сысоев</t>
  </si>
  <si>
    <t>Рудых</t>
  </si>
  <si>
    <t>Суворов</t>
  </si>
  <si>
    <t>Виталий</t>
  </si>
  <si>
    <t>Осиповна</t>
  </si>
  <si>
    <t>ДАННЫЕ АКТУАЛЬНЫЕ НА 10.09.17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</si>
</sst>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0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4" fillId="0" borderId="0" xfId="0" applyFont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0" xfId="0" applyFont="1" applyFill="1"/>
    <xf numFmtId="0" fontId="1" fillId="3" borderId="0" xfId="0" applyFont="1" applyFill="1"/>
    <xf numFmtId="0" fontId="1" fillId="9" borderId="0" xfId="0" applyFont="1" applyFill="1"/>
    <xf numFmtId="0" fontId="1" fillId="8" borderId="0" xfId="0" applyFont="1" applyFill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showWhiteSpace="0" view="pageBreakPreview" zoomScaleNormal="100" zoomScaleSheetLayoutView="100" zoomScalePageLayoutView="90" workbookViewId="0">
      <selection activeCell="M24" sqref="M24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4.425781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34</v>
      </c>
      <c r="G1" s="2" t="s">
        <v>102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4" t="s">
        <v>2</v>
      </c>
      <c r="J3" s="14" t="s">
        <v>3</v>
      </c>
      <c r="K3" s="14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4">
        <v>1</v>
      </c>
      <c r="B4" s="14" t="s">
        <v>11</v>
      </c>
      <c r="C4" s="14" t="s">
        <v>12</v>
      </c>
      <c r="D4" s="14">
        <v>18</v>
      </c>
      <c r="E4" s="14">
        <v>15</v>
      </c>
      <c r="F4" s="14">
        <v>20</v>
      </c>
      <c r="G4" s="14">
        <v>40</v>
      </c>
      <c r="H4" s="14">
        <f t="shared" ref="H4:H31" si="0">SUM(D4:G4)</f>
        <v>93</v>
      </c>
      <c r="I4" s="24">
        <v>1</v>
      </c>
      <c r="J4" s="14" t="s">
        <v>50</v>
      </c>
      <c r="K4" s="14" t="s">
        <v>51</v>
      </c>
      <c r="L4" s="14">
        <f>27+3</f>
        <v>30</v>
      </c>
      <c r="M4" s="14">
        <v>20</v>
      </c>
      <c r="N4" s="14">
        <v>30</v>
      </c>
      <c r="O4" s="14">
        <v>0</v>
      </c>
      <c r="P4" s="14">
        <f>SUM(L4:O4)</f>
        <v>80</v>
      </c>
    </row>
    <row r="5" spans="1:16" x14ac:dyDescent="0.25">
      <c r="A5" s="25">
        <v>2</v>
      </c>
      <c r="B5" s="14" t="s">
        <v>19</v>
      </c>
      <c r="C5" s="14" t="s">
        <v>20</v>
      </c>
      <c r="D5" s="14">
        <f>39+3</f>
        <v>42</v>
      </c>
      <c r="E5" s="14">
        <v>15</v>
      </c>
      <c r="F5" s="14">
        <v>0</v>
      </c>
      <c r="G5" s="14">
        <v>0</v>
      </c>
      <c r="H5" s="14">
        <f t="shared" si="0"/>
        <v>57</v>
      </c>
      <c r="I5" s="25">
        <v>2</v>
      </c>
      <c r="J5" s="14" t="s">
        <v>40</v>
      </c>
      <c r="K5" s="14" t="s">
        <v>41</v>
      </c>
      <c r="L5" s="14">
        <f>39+3</f>
        <v>42</v>
      </c>
      <c r="M5" s="14">
        <v>10</v>
      </c>
      <c r="N5" s="14">
        <v>0</v>
      </c>
      <c r="O5" s="14">
        <v>0</v>
      </c>
      <c r="P5" s="14">
        <f t="shared" ref="P5:P22" si="1">SUM(L5:O5)</f>
        <v>52</v>
      </c>
    </row>
    <row r="6" spans="1:16" x14ac:dyDescent="0.25">
      <c r="A6" s="27">
        <v>3</v>
      </c>
      <c r="B6" s="14" t="s">
        <v>13</v>
      </c>
      <c r="C6" s="14" t="s">
        <v>14</v>
      </c>
      <c r="D6" s="14">
        <f>33+3</f>
        <v>36</v>
      </c>
      <c r="E6" s="14">
        <v>20</v>
      </c>
      <c r="F6" s="14">
        <v>0</v>
      </c>
      <c r="G6" s="14">
        <v>0</v>
      </c>
      <c r="H6" s="14">
        <f t="shared" si="0"/>
        <v>56</v>
      </c>
      <c r="I6" s="27">
        <v>3</v>
      </c>
      <c r="J6" s="14" t="s">
        <v>13</v>
      </c>
      <c r="K6" s="14" t="s">
        <v>44</v>
      </c>
      <c r="L6" s="14">
        <f>27+3</f>
        <v>30</v>
      </c>
      <c r="M6" s="14">
        <v>10</v>
      </c>
      <c r="N6" s="14">
        <v>0</v>
      </c>
      <c r="O6" s="14">
        <v>0</v>
      </c>
      <c r="P6" s="14">
        <f t="shared" si="1"/>
        <v>40</v>
      </c>
    </row>
    <row r="7" spans="1:16" x14ac:dyDescent="0.25">
      <c r="A7" s="26">
        <v>4</v>
      </c>
      <c r="B7" s="14" t="s">
        <v>21</v>
      </c>
      <c r="C7" s="14" t="s">
        <v>22</v>
      </c>
      <c r="D7" s="14">
        <f>36+3</f>
        <v>39</v>
      </c>
      <c r="E7" s="14">
        <v>10</v>
      </c>
      <c r="F7" s="14">
        <v>0</v>
      </c>
      <c r="G7" s="14">
        <v>0</v>
      </c>
      <c r="H7" s="14">
        <f t="shared" si="0"/>
        <v>49</v>
      </c>
      <c r="I7" s="26">
        <v>4</v>
      </c>
      <c r="J7" s="14" t="s">
        <v>38</v>
      </c>
      <c r="K7" s="14" t="s">
        <v>39</v>
      </c>
      <c r="L7" s="14">
        <v>15</v>
      </c>
      <c r="M7" s="14">
        <v>10</v>
      </c>
      <c r="N7" s="14">
        <v>0</v>
      </c>
      <c r="O7" s="14">
        <v>0</v>
      </c>
      <c r="P7" s="14">
        <f t="shared" si="1"/>
        <v>25</v>
      </c>
    </row>
    <row r="8" spans="1:16" x14ac:dyDescent="0.25">
      <c r="A8" s="26">
        <v>5</v>
      </c>
      <c r="B8" s="14" t="s">
        <v>71</v>
      </c>
      <c r="C8" s="14" t="s">
        <v>72</v>
      </c>
      <c r="D8" s="14">
        <f>18+3</f>
        <v>21</v>
      </c>
      <c r="E8" s="14">
        <v>5</v>
      </c>
      <c r="F8" s="14">
        <v>0</v>
      </c>
      <c r="G8" s="14">
        <v>0</v>
      </c>
      <c r="H8" s="14">
        <f>SUM(D8:G8)</f>
        <v>26</v>
      </c>
      <c r="I8" s="26">
        <v>5</v>
      </c>
      <c r="J8" s="14" t="s">
        <v>86</v>
      </c>
      <c r="K8" s="14" t="s">
        <v>59</v>
      </c>
      <c r="L8" s="14">
        <v>12</v>
      </c>
      <c r="M8" s="14">
        <v>10</v>
      </c>
      <c r="N8" s="14">
        <v>0</v>
      </c>
      <c r="O8" s="14">
        <v>0</v>
      </c>
      <c r="P8" s="14">
        <f t="shared" si="1"/>
        <v>22</v>
      </c>
    </row>
    <row r="9" spans="1:16" x14ac:dyDescent="0.25">
      <c r="A9" s="26">
        <v>6</v>
      </c>
      <c r="B9" s="14" t="s">
        <v>89</v>
      </c>
      <c r="C9" s="14" t="s">
        <v>68</v>
      </c>
      <c r="D9" s="14">
        <f>18+3</f>
        <v>21</v>
      </c>
      <c r="E9" s="14">
        <v>5</v>
      </c>
      <c r="F9" s="14">
        <v>0</v>
      </c>
      <c r="G9" s="14">
        <v>0</v>
      </c>
      <c r="H9" s="14">
        <f>SUM(D9:G9)</f>
        <v>26</v>
      </c>
      <c r="I9" s="26">
        <v>6</v>
      </c>
      <c r="J9" s="14" t="s">
        <v>84</v>
      </c>
      <c r="K9" s="14" t="s">
        <v>85</v>
      </c>
      <c r="L9" s="14">
        <f>9+3</f>
        <v>12</v>
      </c>
      <c r="M9" s="14">
        <f>5+5</f>
        <v>10</v>
      </c>
      <c r="N9" s="14">
        <v>0</v>
      </c>
      <c r="O9" s="14">
        <v>0</v>
      </c>
      <c r="P9" s="14">
        <f>SUM(L9:O9)</f>
        <v>22</v>
      </c>
    </row>
    <row r="10" spans="1:16" x14ac:dyDescent="0.25">
      <c r="A10" s="26">
        <v>7</v>
      </c>
      <c r="B10" s="14" t="s">
        <v>47</v>
      </c>
      <c r="C10" s="14" t="s">
        <v>22</v>
      </c>
      <c r="D10" s="14">
        <v>9</v>
      </c>
      <c r="E10" s="14">
        <v>5</v>
      </c>
      <c r="F10" s="14">
        <v>10</v>
      </c>
      <c r="G10" s="14">
        <v>0</v>
      </c>
      <c r="H10" s="14">
        <f t="shared" ref="H10" si="2">SUM(D10:G10)</f>
        <v>24</v>
      </c>
      <c r="I10" s="26">
        <v>7</v>
      </c>
      <c r="J10" s="14" t="s">
        <v>82</v>
      </c>
      <c r="K10" s="14" t="s">
        <v>83</v>
      </c>
      <c r="L10" s="14">
        <v>9</v>
      </c>
      <c r="M10" s="14">
        <v>10</v>
      </c>
      <c r="N10" s="14">
        <v>0</v>
      </c>
      <c r="O10" s="14">
        <v>0</v>
      </c>
      <c r="P10" s="14">
        <f t="shared" ref="P10" si="3">SUM(L10:O10)</f>
        <v>19</v>
      </c>
    </row>
    <row r="11" spans="1:16" x14ac:dyDescent="0.25">
      <c r="A11" s="26">
        <v>8</v>
      </c>
      <c r="B11" s="14" t="s">
        <v>26</v>
      </c>
      <c r="C11" s="14" t="s">
        <v>27</v>
      </c>
      <c r="D11" s="14">
        <f>6+3</f>
        <v>9</v>
      </c>
      <c r="E11" s="14">
        <f>10+5</f>
        <v>15</v>
      </c>
      <c r="F11" s="14">
        <v>0</v>
      </c>
      <c r="G11" s="14">
        <v>0</v>
      </c>
      <c r="H11" s="14">
        <f>SUM(D11:G11)</f>
        <v>24</v>
      </c>
      <c r="I11" s="26">
        <v>8</v>
      </c>
      <c r="J11" s="14" t="s">
        <v>54</v>
      </c>
      <c r="K11" s="14" t="s">
        <v>55</v>
      </c>
      <c r="L11" s="14">
        <v>12</v>
      </c>
      <c r="M11" s="14">
        <v>5</v>
      </c>
      <c r="N11" s="14">
        <v>0</v>
      </c>
      <c r="O11" s="14">
        <v>0</v>
      </c>
      <c r="P11" s="14">
        <f>SUM(L11:O11)</f>
        <v>17</v>
      </c>
    </row>
    <row r="12" spans="1:16" x14ac:dyDescent="0.25">
      <c r="A12" s="26">
        <v>9</v>
      </c>
      <c r="B12" s="14" t="s">
        <v>98</v>
      </c>
      <c r="C12" s="14" t="s">
        <v>78</v>
      </c>
      <c r="D12" s="14">
        <v>3</v>
      </c>
      <c r="E12" s="14">
        <v>0</v>
      </c>
      <c r="F12" s="14">
        <v>0</v>
      </c>
      <c r="G12" s="14">
        <v>20</v>
      </c>
      <c r="H12" s="14">
        <f t="shared" ref="H12" si="4">SUM(D12:G12)</f>
        <v>23</v>
      </c>
      <c r="I12" s="26">
        <v>9</v>
      </c>
      <c r="J12" s="14" t="s">
        <v>58</v>
      </c>
      <c r="K12" s="14" t="s">
        <v>59</v>
      </c>
      <c r="L12" s="14">
        <v>6</v>
      </c>
      <c r="M12" s="14">
        <v>10</v>
      </c>
      <c r="N12" s="14">
        <v>0</v>
      </c>
      <c r="O12" s="14">
        <v>0</v>
      </c>
      <c r="P12" s="14">
        <f t="shared" ref="P12" si="5">SUM(L12:O12)</f>
        <v>16</v>
      </c>
    </row>
    <row r="13" spans="1:16" x14ac:dyDescent="0.25">
      <c r="A13" s="26">
        <v>10</v>
      </c>
      <c r="B13" s="14" t="s">
        <v>49</v>
      </c>
      <c r="C13" s="14" t="s">
        <v>16</v>
      </c>
      <c r="D13" s="14">
        <v>9</v>
      </c>
      <c r="E13" s="14">
        <v>10</v>
      </c>
      <c r="F13" s="14">
        <v>0</v>
      </c>
      <c r="G13" s="14">
        <v>0</v>
      </c>
      <c r="H13" s="14">
        <f t="shared" ref="H13" si="6">SUM(D13:G13)</f>
        <v>19</v>
      </c>
      <c r="I13" s="26">
        <v>10</v>
      </c>
      <c r="J13" s="14" t="s">
        <v>66</v>
      </c>
      <c r="K13" s="14" t="s">
        <v>67</v>
      </c>
      <c r="L13" s="14">
        <v>9</v>
      </c>
      <c r="M13" s="14">
        <v>5</v>
      </c>
      <c r="N13" s="14">
        <v>0</v>
      </c>
      <c r="O13" s="14">
        <v>0</v>
      </c>
      <c r="P13" s="14">
        <f t="shared" si="1"/>
        <v>14</v>
      </c>
    </row>
    <row r="14" spans="1:16" x14ac:dyDescent="0.25">
      <c r="A14" s="26">
        <v>11</v>
      </c>
      <c r="B14" s="14" t="s">
        <v>76</v>
      </c>
      <c r="C14" s="14" t="s">
        <v>72</v>
      </c>
      <c r="D14" s="14">
        <v>6</v>
      </c>
      <c r="E14" s="14">
        <v>10</v>
      </c>
      <c r="F14" s="14">
        <v>0</v>
      </c>
      <c r="G14" s="14">
        <v>0</v>
      </c>
      <c r="H14" s="14">
        <f t="shared" si="0"/>
        <v>16</v>
      </c>
      <c r="I14" s="26">
        <v>11</v>
      </c>
      <c r="J14" s="14" t="s">
        <v>56</v>
      </c>
      <c r="K14" s="14" t="s">
        <v>57</v>
      </c>
      <c r="L14" s="14">
        <v>6</v>
      </c>
      <c r="M14" s="14">
        <v>5</v>
      </c>
      <c r="N14" s="14">
        <v>0</v>
      </c>
      <c r="O14" s="14">
        <v>0</v>
      </c>
      <c r="P14" s="14">
        <f t="shared" si="1"/>
        <v>11</v>
      </c>
    </row>
    <row r="15" spans="1:16" x14ac:dyDescent="0.25">
      <c r="A15" s="26">
        <v>12</v>
      </c>
      <c r="B15" s="14" t="s">
        <v>45</v>
      </c>
      <c r="C15" s="14" t="s">
        <v>46</v>
      </c>
      <c r="D15" s="14">
        <f>6+3</f>
        <v>9</v>
      </c>
      <c r="E15" s="14">
        <v>5</v>
      </c>
      <c r="F15" s="14">
        <v>0</v>
      </c>
      <c r="G15" s="14">
        <v>0</v>
      </c>
      <c r="H15" s="14">
        <f>SUM(D15:G15)</f>
        <v>14</v>
      </c>
      <c r="I15" s="26">
        <v>12</v>
      </c>
      <c r="J15" s="14" t="s">
        <v>60</v>
      </c>
      <c r="K15" s="14" t="s">
        <v>61</v>
      </c>
      <c r="L15" s="14">
        <v>6</v>
      </c>
      <c r="M15" s="14">
        <v>5</v>
      </c>
      <c r="N15" s="14">
        <v>0</v>
      </c>
      <c r="O15" s="14">
        <v>0</v>
      </c>
      <c r="P15" s="14">
        <f t="shared" si="1"/>
        <v>11</v>
      </c>
    </row>
    <row r="16" spans="1:16" x14ac:dyDescent="0.25">
      <c r="A16" s="26">
        <v>13</v>
      </c>
      <c r="B16" s="14" t="s">
        <v>23</v>
      </c>
      <c r="C16" s="14" t="s">
        <v>12</v>
      </c>
      <c r="D16" s="14">
        <v>6</v>
      </c>
      <c r="E16" s="14">
        <v>5</v>
      </c>
      <c r="F16" s="14">
        <v>0</v>
      </c>
      <c r="G16" s="14">
        <v>0</v>
      </c>
      <c r="H16" s="14">
        <f t="shared" si="0"/>
        <v>11</v>
      </c>
      <c r="I16" s="26">
        <v>13</v>
      </c>
      <c r="J16" s="14" t="s">
        <v>62</v>
      </c>
      <c r="K16" s="14" t="s">
        <v>63</v>
      </c>
      <c r="L16" s="14">
        <v>9</v>
      </c>
      <c r="M16" s="14">
        <v>0</v>
      </c>
      <c r="N16" s="14">
        <v>0</v>
      </c>
      <c r="O16" s="14">
        <v>0</v>
      </c>
      <c r="P16" s="14">
        <f t="shared" si="1"/>
        <v>9</v>
      </c>
    </row>
    <row r="17" spans="1:16" x14ac:dyDescent="0.25">
      <c r="A17" s="26">
        <v>14</v>
      </c>
      <c r="B17" s="14" t="s">
        <v>69</v>
      </c>
      <c r="C17" s="14" t="s">
        <v>70</v>
      </c>
      <c r="D17" s="14">
        <v>6</v>
      </c>
      <c r="E17" s="14">
        <v>5</v>
      </c>
      <c r="F17" s="14">
        <v>0</v>
      </c>
      <c r="G17" s="14">
        <v>0</v>
      </c>
      <c r="H17" s="14">
        <f t="shared" si="0"/>
        <v>11</v>
      </c>
      <c r="I17" s="26">
        <v>14</v>
      </c>
      <c r="J17" s="14" t="s">
        <v>90</v>
      </c>
      <c r="K17" s="14" t="s">
        <v>91</v>
      </c>
      <c r="L17" s="14">
        <f>6+3</f>
        <v>9</v>
      </c>
      <c r="M17" s="14">
        <v>0</v>
      </c>
      <c r="N17" s="14">
        <v>0</v>
      </c>
      <c r="O17" s="14">
        <v>0</v>
      </c>
      <c r="P17" s="14">
        <f>SUM(L17:O17)</f>
        <v>9</v>
      </c>
    </row>
    <row r="18" spans="1:16" x14ac:dyDescent="0.25">
      <c r="A18" s="26">
        <v>15</v>
      </c>
      <c r="B18" s="14" t="s">
        <v>21</v>
      </c>
      <c r="C18" s="14" t="s">
        <v>37</v>
      </c>
      <c r="D18" s="14">
        <v>6</v>
      </c>
      <c r="E18" s="14">
        <v>5</v>
      </c>
      <c r="F18" s="14">
        <v>0</v>
      </c>
      <c r="G18" s="14">
        <v>0</v>
      </c>
      <c r="H18" s="14">
        <f t="shared" si="0"/>
        <v>11</v>
      </c>
      <c r="I18" s="26">
        <v>15</v>
      </c>
      <c r="J18" s="14" t="s">
        <v>64</v>
      </c>
      <c r="K18" s="14" t="s">
        <v>65</v>
      </c>
      <c r="L18" s="14">
        <v>3</v>
      </c>
      <c r="M18" s="14">
        <v>5</v>
      </c>
      <c r="N18" s="14">
        <v>0</v>
      </c>
      <c r="O18" s="14">
        <v>0</v>
      </c>
      <c r="P18" s="14">
        <f>SUM(L18:O18)</f>
        <v>8</v>
      </c>
    </row>
    <row r="19" spans="1:16" x14ac:dyDescent="0.25">
      <c r="A19" s="26">
        <v>16</v>
      </c>
      <c r="B19" s="14" t="s">
        <v>95</v>
      </c>
      <c r="C19" s="14" t="s">
        <v>72</v>
      </c>
      <c r="D19" s="14">
        <f>3+3</f>
        <v>6</v>
      </c>
      <c r="E19" s="14">
        <v>5</v>
      </c>
      <c r="F19" s="14">
        <v>0</v>
      </c>
      <c r="G19" s="14">
        <v>0</v>
      </c>
      <c r="H19" s="14">
        <f>SUM(D19:G19)</f>
        <v>11</v>
      </c>
      <c r="I19" s="26">
        <v>16</v>
      </c>
      <c r="J19" s="14" t="s">
        <v>101</v>
      </c>
      <c r="K19" s="14" t="s">
        <v>57</v>
      </c>
      <c r="L19" s="14">
        <v>3</v>
      </c>
      <c r="M19" s="14">
        <v>5</v>
      </c>
      <c r="N19" s="14">
        <v>0</v>
      </c>
      <c r="O19" s="14">
        <v>0</v>
      </c>
      <c r="P19" s="14">
        <f>SUM(L19:O19)</f>
        <v>8</v>
      </c>
    </row>
    <row r="20" spans="1:16" x14ac:dyDescent="0.25">
      <c r="A20" s="26">
        <v>17</v>
      </c>
      <c r="B20" s="14" t="s">
        <v>35</v>
      </c>
      <c r="C20" s="14" t="s">
        <v>36</v>
      </c>
      <c r="D20" s="14">
        <v>9</v>
      </c>
      <c r="E20" s="14">
        <v>0</v>
      </c>
      <c r="F20" s="14">
        <v>0</v>
      </c>
      <c r="G20" s="14">
        <v>0</v>
      </c>
      <c r="H20" s="14">
        <f>SUM(D20:G20)</f>
        <v>9</v>
      </c>
      <c r="I20" s="26">
        <v>17</v>
      </c>
      <c r="J20" s="14" t="s">
        <v>79</v>
      </c>
      <c r="K20" s="14" t="s">
        <v>63</v>
      </c>
      <c r="L20" s="14">
        <v>6</v>
      </c>
      <c r="M20" s="14">
        <v>0</v>
      </c>
      <c r="N20" s="14">
        <v>0</v>
      </c>
      <c r="O20" s="14">
        <v>0</v>
      </c>
      <c r="P20" s="14">
        <f>SUM(L20:O20)</f>
        <v>6</v>
      </c>
    </row>
    <row r="21" spans="1:16" x14ac:dyDescent="0.25">
      <c r="A21" s="26">
        <v>18</v>
      </c>
      <c r="B21" s="14" t="s">
        <v>87</v>
      </c>
      <c r="C21" s="14" t="s">
        <v>88</v>
      </c>
      <c r="D21" s="14">
        <v>3</v>
      </c>
      <c r="E21" s="14">
        <v>5</v>
      </c>
      <c r="F21" s="14">
        <v>0</v>
      </c>
      <c r="G21" s="14">
        <v>0</v>
      </c>
      <c r="H21" s="14">
        <f t="shared" si="0"/>
        <v>8</v>
      </c>
      <c r="I21" s="26">
        <v>18</v>
      </c>
      <c r="J21" s="14" t="s">
        <v>93</v>
      </c>
      <c r="K21" s="14" t="s">
        <v>94</v>
      </c>
      <c r="L21" s="14">
        <v>3</v>
      </c>
      <c r="M21" s="14">
        <v>0</v>
      </c>
      <c r="N21" s="14">
        <v>0</v>
      </c>
      <c r="O21" s="14">
        <v>0</v>
      </c>
      <c r="P21" s="14">
        <f t="shared" si="1"/>
        <v>3</v>
      </c>
    </row>
    <row r="22" spans="1:16" x14ac:dyDescent="0.25">
      <c r="A22" s="26">
        <v>19</v>
      </c>
      <c r="B22" s="14" t="s">
        <v>17</v>
      </c>
      <c r="C22" s="14" t="s">
        <v>18</v>
      </c>
      <c r="D22" s="14">
        <v>3</v>
      </c>
      <c r="E22" s="14">
        <v>5</v>
      </c>
      <c r="F22" s="14">
        <v>0</v>
      </c>
      <c r="G22" s="14">
        <v>0</v>
      </c>
      <c r="H22" s="14">
        <f>SUM(D22:G22)</f>
        <v>8</v>
      </c>
      <c r="I22" s="33">
        <v>19</v>
      </c>
      <c r="J22" s="14" t="s">
        <v>80</v>
      </c>
      <c r="K22" s="14" t="s">
        <v>81</v>
      </c>
      <c r="L22" s="14">
        <v>3</v>
      </c>
      <c r="M22" s="14">
        <v>0</v>
      </c>
      <c r="N22" s="14">
        <v>0</v>
      </c>
      <c r="O22" s="14">
        <v>0</v>
      </c>
      <c r="P22" s="14">
        <f>SUM(L22:O22)</f>
        <v>3</v>
      </c>
    </row>
    <row r="23" spans="1:16" x14ac:dyDescent="0.25">
      <c r="A23" s="26">
        <v>20</v>
      </c>
      <c r="B23" s="14" t="s">
        <v>99</v>
      </c>
      <c r="C23" s="14" t="s">
        <v>100</v>
      </c>
      <c r="D23" s="14">
        <v>3</v>
      </c>
      <c r="E23" s="14">
        <v>5</v>
      </c>
      <c r="F23" s="14">
        <v>0</v>
      </c>
      <c r="G23" s="14">
        <v>0</v>
      </c>
      <c r="H23" s="14">
        <f t="shared" ref="H23:H25" si="7">SUM(D23:G23)</f>
        <v>8</v>
      </c>
      <c r="I23" s="32"/>
    </row>
    <row r="24" spans="1:16" x14ac:dyDescent="0.25">
      <c r="A24" s="26">
        <v>21</v>
      </c>
      <c r="B24" s="14" t="s">
        <v>48</v>
      </c>
      <c r="C24" s="14" t="s">
        <v>22</v>
      </c>
      <c r="D24" s="14">
        <v>6</v>
      </c>
      <c r="E24" s="14">
        <v>0</v>
      </c>
      <c r="F24" s="14">
        <v>0</v>
      </c>
      <c r="G24" s="14">
        <v>0</v>
      </c>
      <c r="H24" s="14">
        <f t="shared" si="7"/>
        <v>6</v>
      </c>
    </row>
    <row r="25" spans="1:16" x14ac:dyDescent="0.25">
      <c r="A25" s="26">
        <v>22</v>
      </c>
      <c r="B25" s="14" t="s">
        <v>15</v>
      </c>
      <c r="C25" s="14" t="s">
        <v>16</v>
      </c>
      <c r="D25" s="14">
        <v>3</v>
      </c>
      <c r="E25" s="14">
        <v>0</v>
      </c>
      <c r="F25" s="14">
        <v>0</v>
      </c>
      <c r="G25" s="14">
        <v>0</v>
      </c>
      <c r="H25" s="14">
        <f t="shared" si="7"/>
        <v>3</v>
      </c>
    </row>
    <row r="26" spans="1:16" x14ac:dyDescent="0.25">
      <c r="A26" s="26">
        <v>23</v>
      </c>
      <c r="B26" s="14" t="s">
        <v>52</v>
      </c>
      <c r="C26" s="14" t="s">
        <v>53</v>
      </c>
      <c r="D26" s="14">
        <v>3</v>
      </c>
      <c r="E26" s="14">
        <v>0</v>
      </c>
      <c r="F26" s="14">
        <v>0</v>
      </c>
      <c r="G26" s="14">
        <v>0</v>
      </c>
      <c r="H26" s="14">
        <f t="shared" si="0"/>
        <v>3</v>
      </c>
    </row>
    <row r="27" spans="1:16" x14ac:dyDescent="0.25">
      <c r="A27" s="26">
        <v>24</v>
      </c>
      <c r="B27" s="14" t="s">
        <v>77</v>
      </c>
      <c r="C27" s="14" t="s">
        <v>78</v>
      </c>
      <c r="D27" s="14">
        <v>3</v>
      </c>
      <c r="E27" s="14">
        <v>0</v>
      </c>
      <c r="F27" s="14">
        <v>0</v>
      </c>
      <c r="G27" s="14">
        <v>0</v>
      </c>
      <c r="H27" s="14">
        <f t="shared" si="0"/>
        <v>3</v>
      </c>
    </row>
    <row r="28" spans="1:16" x14ac:dyDescent="0.25">
      <c r="A28" s="26">
        <v>25</v>
      </c>
      <c r="B28" s="14" t="s">
        <v>92</v>
      </c>
      <c r="C28" s="14" t="s">
        <v>22</v>
      </c>
      <c r="D28" s="14">
        <v>3</v>
      </c>
      <c r="E28" s="14">
        <v>0</v>
      </c>
      <c r="F28" s="14">
        <v>0</v>
      </c>
      <c r="G28" s="14">
        <v>0</v>
      </c>
      <c r="H28" s="14">
        <f t="shared" si="0"/>
        <v>3</v>
      </c>
    </row>
    <row r="29" spans="1:16" x14ac:dyDescent="0.25">
      <c r="A29" s="26">
        <v>26</v>
      </c>
      <c r="B29" s="14" t="s">
        <v>24</v>
      </c>
      <c r="C29" s="14" t="s">
        <v>25</v>
      </c>
      <c r="D29" s="14">
        <v>3</v>
      </c>
      <c r="E29" s="14">
        <v>0</v>
      </c>
      <c r="F29" s="14">
        <v>0</v>
      </c>
      <c r="G29" s="14">
        <v>0</v>
      </c>
      <c r="H29" s="14">
        <f t="shared" si="0"/>
        <v>3</v>
      </c>
    </row>
    <row r="30" spans="1:16" x14ac:dyDescent="0.25">
      <c r="A30" s="26">
        <v>27</v>
      </c>
      <c r="B30" s="14" t="s">
        <v>95</v>
      </c>
      <c r="C30" s="14" t="s">
        <v>96</v>
      </c>
      <c r="D30" s="14">
        <v>3</v>
      </c>
      <c r="E30" s="14">
        <v>0</v>
      </c>
      <c r="F30" s="14">
        <v>0</v>
      </c>
      <c r="G30" s="14">
        <v>0</v>
      </c>
      <c r="H30" s="14">
        <f t="shared" si="0"/>
        <v>3</v>
      </c>
    </row>
    <row r="31" spans="1:16" x14ac:dyDescent="0.25">
      <c r="A31" s="26">
        <v>28</v>
      </c>
      <c r="B31" s="14" t="s">
        <v>97</v>
      </c>
      <c r="C31" s="14" t="s">
        <v>78</v>
      </c>
      <c r="D31" s="14">
        <v>3</v>
      </c>
      <c r="E31" s="14">
        <v>0</v>
      </c>
      <c r="F31" s="14">
        <v>0</v>
      </c>
      <c r="G31" s="14">
        <v>0</v>
      </c>
      <c r="H31" s="14">
        <f t="shared" si="0"/>
        <v>3</v>
      </c>
    </row>
    <row r="32" spans="1:16" ht="15.75" thickBot="1" x14ac:dyDescent="0.3">
      <c r="A32" s="33">
        <v>29</v>
      </c>
      <c r="B32" s="14" t="s">
        <v>42</v>
      </c>
      <c r="C32" s="14" t="s">
        <v>43</v>
      </c>
      <c r="D32" s="14">
        <v>3</v>
      </c>
      <c r="E32" s="14">
        <v>0</v>
      </c>
      <c r="F32" s="14">
        <v>0</v>
      </c>
      <c r="G32" s="14">
        <v>0</v>
      </c>
      <c r="H32" s="14">
        <f>SUM(D32:G32)</f>
        <v>3</v>
      </c>
    </row>
    <row r="33" spans="2:16" x14ac:dyDescent="0.25">
      <c r="F33" s="17" t="s">
        <v>28</v>
      </c>
      <c r="G33" s="18"/>
      <c r="H33" s="18"/>
      <c r="I33" s="15"/>
      <c r="J33" s="16"/>
      <c r="L33" s="28"/>
      <c r="M33" s="31"/>
      <c r="N33" s="30"/>
      <c r="O33" s="31"/>
      <c r="P33" s="29"/>
    </row>
    <row r="34" spans="2:16" x14ac:dyDescent="0.25">
      <c r="F34" s="17" t="s">
        <v>29</v>
      </c>
      <c r="G34" s="18"/>
      <c r="H34" s="18"/>
      <c r="I34" s="18"/>
      <c r="J34" s="19"/>
      <c r="L34" s="1" t="s">
        <v>73</v>
      </c>
      <c r="N34" s="1" t="s">
        <v>74</v>
      </c>
      <c r="P34" s="1" t="s">
        <v>75</v>
      </c>
    </row>
    <row r="35" spans="2:16" x14ac:dyDescent="0.25">
      <c r="F35" s="17" t="s">
        <v>30</v>
      </c>
      <c r="G35" s="18"/>
      <c r="H35" s="18"/>
      <c r="I35" s="18"/>
      <c r="J35" s="19"/>
    </row>
    <row r="36" spans="2:16" ht="15.75" thickBot="1" x14ac:dyDescent="0.3">
      <c r="F36" s="20" t="s">
        <v>31</v>
      </c>
      <c r="G36" s="21"/>
      <c r="H36" s="21"/>
      <c r="I36" s="21"/>
      <c r="J36" s="22"/>
    </row>
    <row r="41" spans="2:16" ht="15.75" x14ac:dyDescent="0.25">
      <c r="B41" s="23" t="s">
        <v>32</v>
      </c>
      <c r="M41" s="23" t="s">
        <v>33</v>
      </c>
    </row>
  </sheetData>
  <sortState ref="I4:P21">
    <sortCondition descending="1" ref="P4:P21"/>
  </sortState>
  <pageMargins left="0.5625" right="0.25" top="0.75" bottom="0.75" header="0.3" footer="0.3"/>
  <pageSetup paperSize="9" scale="83" orientation="landscape" r:id="rId1"/>
  <headerFooter>
    <oddHeader>&amp;C&amp;"Times New Roman,полужирный"&amp;18Проект СочиМарафон &amp;R      КЛБ «Легенда»</oddHeader>
  </headerFooter>
  <rowBreaks count="1" manualBreakCount="1">
    <brk id="40" max="15" man="1"/>
  </rowBreaks>
  <ignoredErrors>
    <ignoredError sqref="L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M19" sqref="M19:S19"/>
    </sheetView>
  </sheetViews>
  <sheetFormatPr defaultRowHeight="15" x14ac:dyDescent="0.25"/>
  <sheetData>
    <row r="1" spans="1:20" x14ac:dyDescent="0.25">
      <c r="A1" s="14"/>
      <c r="B1" s="14"/>
      <c r="C1" s="14"/>
      <c r="D1" s="14"/>
      <c r="E1" s="14"/>
      <c r="F1" s="14"/>
      <c r="G1" s="14"/>
    </row>
    <row r="3" spans="1:20" x14ac:dyDescent="0.25">
      <c r="C3" s="14"/>
      <c r="D3" s="14"/>
      <c r="E3" s="14"/>
      <c r="F3" s="14"/>
      <c r="G3" s="14"/>
      <c r="H3" s="14"/>
      <c r="I3" s="14"/>
    </row>
    <row r="4" spans="1:20" x14ac:dyDescent="0.25">
      <c r="N4" s="14"/>
      <c r="O4" s="14"/>
      <c r="P4" s="14"/>
      <c r="Q4" s="14"/>
      <c r="R4" s="14"/>
      <c r="S4" s="14"/>
      <c r="T4" s="14"/>
    </row>
    <row r="5" spans="1:20" x14ac:dyDescent="0.25">
      <c r="K5" s="14" t="s">
        <v>90</v>
      </c>
      <c r="L5" s="14" t="s">
        <v>91</v>
      </c>
      <c r="M5" s="14">
        <f>6+3</f>
        <v>9</v>
      </c>
      <c r="N5" s="14">
        <v>0</v>
      </c>
      <c r="O5" s="14">
        <v>0</v>
      </c>
      <c r="P5" s="14">
        <v>0</v>
      </c>
      <c r="Q5" s="14">
        <f>SUM(M5:P5)</f>
        <v>9</v>
      </c>
    </row>
    <row r="6" spans="1:20" x14ac:dyDescent="0.25">
      <c r="B6" s="14"/>
      <c r="C6" s="14"/>
      <c r="D6" s="14"/>
      <c r="E6" s="14"/>
      <c r="F6" s="14"/>
      <c r="G6" s="14"/>
      <c r="H6" s="14"/>
    </row>
    <row r="8" spans="1:20" x14ac:dyDescent="0.25">
      <c r="D8" s="14" t="s">
        <v>58</v>
      </c>
      <c r="E8" s="14" t="s">
        <v>59</v>
      </c>
      <c r="F8" s="14">
        <v>6</v>
      </c>
      <c r="G8" s="14">
        <v>10</v>
      </c>
      <c r="H8" s="14">
        <v>0</v>
      </c>
      <c r="I8" s="14">
        <v>0</v>
      </c>
      <c r="J8" s="14">
        <f t="shared" ref="J8" si="0">SUM(F8:I8)</f>
        <v>16</v>
      </c>
      <c r="K8" s="14"/>
      <c r="L8" s="14"/>
      <c r="M8" s="14"/>
      <c r="N8" s="14"/>
      <c r="O8" s="14"/>
      <c r="P8" s="14"/>
      <c r="Q8" s="14"/>
    </row>
    <row r="11" spans="1:20" x14ac:dyDescent="0.25">
      <c r="C11" s="14"/>
      <c r="D11" s="14"/>
      <c r="E11" s="14"/>
      <c r="F11" s="14"/>
      <c r="G11" s="14"/>
      <c r="H11" s="14"/>
      <c r="I11" s="14"/>
    </row>
    <row r="12" spans="1:20" x14ac:dyDescent="0.25">
      <c r="K12" s="14" t="s">
        <v>64</v>
      </c>
      <c r="L12" s="14" t="s">
        <v>65</v>
      </c>
      <c r="M12" s="14">
        <v>3</v>
      </c>
      <c r="N12" s="14">
        <v>5</v>
      </c>
      <c r="O12" s="14">
        <v>0</v>
      </c>
      <c r="P12" s="14">
        <v>0</v>
      </c>
      <c r="Q12" s="14">
        <f t="shared" ref="Q12" si="1">SUM(M12:P12)</f>
        <v>8</v>
      </c>
    </row>
    <row r="14" spans="1:20" x14ac:dyDescent="0.25">
      <c r="D14" s="14"/>
      <c r="E14" s="14"/>
      <c r="F14" s="14"/>
      <c r="G14" s="14"/>
      <c r="H14" s="14"/>
      <c r="I14" s="14"/>
      <c r="J14" s="14"/>
      <c r="N14" s="14"/>
      <c r="O14" s="14"/>
      <c r="P14" s="14"/>
      <c r="Q14" s="14"/>
      <c r="R14" s="14"/>
      <c r="S14" s="14"/>
      <c r="T14" s="14"/>
    </row>
    <row r="17" spans="4:20" x14ac:dyDescent="0.25">
      <c r="D17" s="14"/>
      <c r="E17" s="14"/>
      <c r="F17" s="14"/>
      <c r="G17" s="14"/>
      <c r="H17" s="14"/>
      <c r="I17" s="14"/>
      <c r="J17" s="14"/>
      <c r="N17" s="14"/>
      <c r="O17" s="14"/>
      <c r="P17" s="14"/>
      <c r="Q17" s="14"/>
      <c r="R17" s="14"/>
      <c r="S17" s="14"/>
      <c r="T17" s="14"/>
    </row>
    <row r="19" spans="4:20" x14ac:dyDescent="0.25">
      <c r="M19" s="14" t="s">
        <v>79</v>
      </c>
      <c r="N19" s="14" t="s">
        <v>63</v>
      </c>
      <c r="O19" s="14">
        <v>6</v>
      </c>
      <c r="P19" s="14">
        <v>0</v>
      </c>
      <c r="Q19" s="14">
        <v>0</v>
      </c>
      <c r="R19" s="14">
        <v>0</v>
      </c>
      <c r="S19" s="14">
        <f>SUM(O19:R19)</f>
        <v>6</v>
      </c>
    </row>
    <row r="20" spans="4:20" x14ac:dyDescent="0.25">
      <c r="D20" s="14" t="s">
        <v>82</v>
      </c>
      <c r="E20" s="14" t="s">
        <v>83</v>
      </c>
      <c r="F20" s="14">
        <v>9</v>
      </c>
      <c r="G20" s="14">
        <v>10</v>
      </c>
      <c r="H20" s="14">
        <v>0</v>
      </c>
      <c r="I20" s="14">
        <v>0</v>
      </c>
      <c r="J20" s="14">
        <f t="shared" ref="J20" si="2">SUM(F20:I20)</f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2017-09-13T14:38:38Z</dcterms:modified>
</cp:coreProperties>
</file>