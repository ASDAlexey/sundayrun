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85" windowWidth="14805" windowHeight="7830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M8" i="1" l="1"/>
  <c r="L8" i="1"/>
  <c r="N8" i="1" s="1"/>
  <c r="K8" i="1"/>
  <c r="N7" i="1"/>
  <c r="M7" i="1"/>
  <c r="L7" i="1"/>
  <c r="K7" i="1"/>
  <c r="C12" i="1"/>
  <c r="D12" i="1"/>
  <c r="E12" i="1"/>
  <c r="F12" i="1"/>
  <c r="C13" i="1"/>
  <c r="D13" i="1"/>
  <c r="E13" i="1"/>
  <c r="F13" i="1"/>
  <c r="C14" i="1"/>
  <c r="D14" i="1"/>
  <c r="E14" i="1"/>
  <c r="F14" i="1"/>
  <c r="E11" i="1"/>
  <c r="D11" i="1"/>
  <c r="C11" i="1"/>
  <c r="E10" i="1"/>
  <c r="D10" i="1"/>
  <c r="C10" i="1"/>
  <c r="E7" i="1"/>
  <c r="D7" i="1"/>
  <c r="C7" i="1"/>
  <c r="E6" i="1"/>
  <c r="D6" i="1"/>
  <c r="C6" i="1"/>
  <c r="E5" i="1"/>
  <c r="D5" i="1"/>
  <c r="C5" i="1"/>
  <c r="E4" i="1"/>
  <c r="D4" i="1"/>
  <c r="C4" i="1"/>
  <c r="M6" i="1"/>
  <c r="L6" i="1"/>
  <c r="K6" i="1"/>
  <c r="K5" i="1"/>
  <c r="L5" i="1"/>
  <c r="M5" i="1"/>
  <c r="M4" i="1"/>
  <c r="L4" i="1"/>
  <c r="K4" i="1"/>
  <c r="E9" i="1"/>
  <c r="D9" i="1"/>
  <c r="C9" i="1"/>
  <c r="E8" i="1"/>
  <c r="D8" i="1"/>
  <c r="C8" i="1"/>
  <c r="F4" i="1" l="1"/>
  <c r="F7" i="1"/>
  <c r="F10" i="1"/>
  <c r="F6" i="1"/>
  <c r="F5" i="1"/>
  <c r="F11" i="1"/>
  <c r="F8" i="1" l="1"/>
  <c r="F9" i="1"/>
  <c r="N6" i="1" l="1"/>
  <c r="N4" i="1" l="1"/>
  <c r="N5" i="1"/>
</calcChain>
</file>

<file path=xl/sharedStrings.xml><?xml version="1.0" encoding="utf-8"?>
<sst xmlns="http://schemas.openxmlformats.org/spreadsheetml/2006/main" count="40" uniqueCount="30">
  <si>
    <t>Место</t>
  </si>
  <si>
    <t>Участник</t>
  </si>
  <si>
    <t>Участие</t>
  </si>
  <si>
    <t>Места</t>
  </si>
  <si>
    <t>ЛР</t>
  </si>
  <si>
    <t>Сумма</t>
  </si>
  <si>
    <t>Кияшко Дмитрий</t>
  </si>
  <si>
    <t>Куловеров Владимир</t>
  </si>
  <si>
    <t>Дзюбак Сергей</t>
  </si>
  <si>
    <t>Илларионов Денис</t>
  </si>
  <si>
    <t>Юрьев Евгений</t>
  </si>
  <si>
    <t>Курд Олег</t>
  </si>
  <si>
    <t>Личный рекорд/Первое посещение в рамках соревнования</t>
  </si>
  <si>
    <t>Назарова Вероника</t>
  </si>
  <si>
    <t>Третьякова Мария</t>
  </si>
  <si>
    <t>Действие</t>
  </si>
  <si>
    <t>Занятое место</t>
  </si>
  <si>
    <t>Волонтер (засекающий время)</t>
  </si>
  <si>
    <t>Чередниченко Александр</t>
  </si>
  <si>
    <t>Очки</t>
  </si>
  <si>
    <t>Плетнева Юлия</t>
  </si>
  <si>
    <t>Сергеев Максим</t>
  </si>
  <si>
    <t>Цопкало Николай</t>
  </si>
  <si>
    <t>Кукибная Дарья</t>
  </si>
  <si>
    <t>-</t>
  </si>
  <si>
    <t>ЛР сезона</t>
  </si>
  <si>
    <t>Курдяев Артем</t>
  </si>
  <si>
    <t>Коневской Андрей</t>
  </si>
  <si>
    <t>Цопкало Людмила</t>
  </si>
  <si>
    <t>Соревнование между участниками воскресных парковых пробегов в ПКиО им. Горького в г. Таганроге (данные актуальные на 09.09.2018)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</si>
</sst>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vertical="center" wrapText="1"/>
    </xf>
    <xf numFmtId="0" fontId="1" fillId="0" borderId="20" xfId="0" applyFont="1" applyBorder="1"/>
    <xf numFmtId="0" fontId="1" fillId="0" borderId="18" xfId="0" applyFont="1" applyBorder="1"/>
    <xf numFmtId="45" fontId="1" fillId="0" borderId="23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5" fontId="1" fillId="0" borderId="32" xfId="0" applyNumberFormat="1" applyFont="1" applyBorder="1" applyAlignment="1">
      <alignment horizontal="center" vertical="center"/>
    </xf>
    <xf numFmtId="0" fontId="0" fillId="0" borderId="23" xfId="0" applyBorder="1"/>
    <xf numFmtId="0" fontId="0" fillId="0" borderId="21" xfId="0" applyBorder="1"/>
    <xf numFmtId="0" fontId="1" fillId="0" borderId="24" xfId="0" applyFont="1" applyBorder="1"/>
    <xf numFmtId="0" fontId="1" fillId="0" borderId="25" xfId="0" applyFont="1" applyBorder="1"/>
    <xf numFmtId="0" fontId="1" fillId="0" borderId="33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0" fillId="0" borderId="23" xfId="0" applyBorder="1" applyAlignment="1">
      <alignment horizontal="center"/>
    </xf>
    <xf numFmtId="45" fontId="1" fillId="0" borderId="22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6" xfId="0" applyFont="1" applyBorder="1"/>
    <xf numFmtId="0" fontId="5" fillId="0" borderId="31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4" fillId="0" borderId="12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10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4" fillId="0" borderId="3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45" fontId="1" fillId="0" borderId="40" xfId="0" applyNumberFormat="1" applyFont="1" applyBorder="1" applyAlignment="1">
      <alignment horizontal="center" vertical="center"/>
    </xf>
    <xf numFmtId="0" fontId="0" fillId="0" borderId="39" xfId="0" applyBorder="1"/>
    <xf numFmtId="0" fontId="1" fillId="0" borderId="4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abSelected="1" zoomScale="90" zoomScaleNormal="90" workbookViewId="0">
      <selection activeCell="D17" sqref="D17"/>
    </sheetView>
  </sheetViews>
  <sheetFormatPr defaultRowHeight="15" x14ac:dyDescent="0.25"/>
  <cols>
    <col min="1" max="1" width="7.28515625" customWidth="1"/>
    <col min="2" max="2" width="25.5703125" customWidth="1"/>
    <col min="7" max="7" width="9.28515625" customWidth="1"/>
    <col min="8" max="8" width="6" customWidth="1"/>
    <col min="10" max="10" width="33.28515625" customWidth="1"/>
  </cols>
  <sheetData>
    <row r="1" spans="1:15" ht="16.5" thickBot="1" x14ac:dyDescent="0.3">
      <c r="A1" s="42" t="s">
        <v>29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5" ht="16.5" thickBot="1" x14ac:dyDescent="0.3">
      <c r="A2" s="49" t="s">
        <v>0</v>
      </c>
      <c r="B2" s="51" t="s">
        <v>1</v>
      </c>
      <c r="C2" s="53" t="s">
        <v>19</v>
      </c>
      <c r="D2" s="54"/>
      <c r="E2" s="54"/>
      <c r="F2" s="55"/>
      <c r="G2" s="39" t="s">
        <v>25</v>
      </c>
      <c r="H2" s="1"/>
      <c r="I2" s="49" t="s">
        <v>0</v>
      </c>
      <c r="J2" s="51" t="s">
        <v>1</v>
      </c>
      <c r="K2" s="53" t="s">
        <v>19</v>
      </c>
      <c r="L2" s="54"/>
      <c r="M2" s="54"/>
      <c r="N2" s="55"/>
      <c r="O2" s="39" t="s">
        <v>25</v>
      </c>
    </row>
    <row r="3" spans="1:15" ht="16.5" thickBot="1" x14ac:dyDescent="0.3">
      <c r="A3" s="50"/>
      <c r="B3" s="52"/>
      <c r="C3" s="17" t="s">
        <v>2</v>
      </c>
      <c r="D3" s="18" t="s">
        <v>3</v>
      </c>
      <c r="E3" s="18" t="s">
        <v>4</v>
      </c>
      <c r="F3" s="34" t="s">
        <v>5</v>
      </c>
      <c r="G3" s="40"/>
      <c r="H3" s="1"/>
      <c r="I3" s="50"/>
      <c r="J3" s="52"/>
      <c r="K3" s="24" t="s">
        <v>2</v>
      </c>
      <c r="L3" s="25" t="s">
        <v>3</v>
      </c>
      <c r="M3" s="25" t="s">
        <v>4</v>
      </c>
      <c r="N3" s="37" t="s">
        <v>5</v>
      </c>
      <c r="O3" s="40"/>
    </row>
    <row r="4" spans="1:15" ht="15.75" x14ac:dyDescent="0.25">
      <c r="A4" s="8">
        <v>1</v>
      </c>
      <c r="B4" s="71" t="s">
        <v>8</v>
      </c>
      <c r="C4" s="3">
        <f>5+5+5+5+5</f>
        <v>25</v>
      </c>
      <c r="D4" s="4">
        <f>2+3+3+2+5</f>
        <v>15</v>
      </c>
      <c r="E4" s="4">
        <f>5+5+0+5+5</f>
        <v>20</v>
      </c>
      <c r="F4" s="35">
        <f t="shared" ref="F4" si="0">C4+D4+E4</f>
        <v>60</v>
      </c>
      <c r="G4" s="33">
        <v>1.0161921296296297</v>
      </c>
      <c r="H4" s="1"/>
      <c r="I4" s="8">
        <v>1</v>
      </c>
      <c r="J4" s="26" t="s">
        <v>14</v>
      </c>
      <c r="K4" s="19">
        <f>5+5+5+5+0</f>
        <v>20</v>
      </c>
      <c r="L4" s="20">
        <f>4+0+4+5+0</f>
        <v>13</v>
      </c>
      <c r="M4" s="20">
        <f>5+0+0+5+0</f>
        <v>10</v>
      </c>
      <c r="N4" s="38">
        <f t="shared" ref="N4" si="1">K4+L4+M4</f>
        <v>43</v>
      </c>
      <c r="O4" s="21">
        <v>1.8055555555555557E-2</v>
      </c>
    </row>
    <row r="5" spans="1:15" ht="15.75" x14ac:dyDescent="0.25">
      <c r="A5" s="9">
        <v>2</v>
      </c>
      <c r="B5" s="26" t="s">
        <v>7</v>
      </c>
      <c r="C5" s="19">
        <f>5+5+5+5+5</f>
        <v>25</v>
      </c>
      <c r="D5" s="20">
        <f>3+4+5+3+4</f>
        <v>19</v>
      </c>
      <c r="E5" s="20">
        <f>5+5+5+0+0</f>
        <v>15</v>
      </c>
      <c r="F5" s="38">
        <f>C5+D5+E5</f>
        <v>59</v>
      </c>
      <c r="G5" s="21">
        <v>1.4675925925925926E-2</v>
      </c>
      <c r="H5" s="1"/>
      <c r="I5" s="9">
        <v>2</v>
      </c>
      <c r="J5" s="11" t="s">
        <v>13</v>
      </c>
      <c r="K5" s="5">
        <f>5+0+5+5+5</f>
        <v>20</v>
      </c>
      <c r="L5" s="2">
        <f>5+0+0+3+4</f>
        <v>12</v>
      </c>
      <c r="M5" s="2">
        <f>5+0+0+0+5</f>
        <v>10</v>
      </c>
      <c r="N5" s="36">
        <f>K5+L5+M5</f>
        <v>42</v>
      </c>
      <c r="O5" s="14">
        <v>1.832175925925926E-2</v>
      </c>
    </row>
    <row r="6" spans="1:15" ht="17.25" customHeight="1" x14ac:dyDescent="0.25">
      <c r="A6" s="9">
        <v>3</v>
      </c>
      <c r="B6" s="11" t="s">
        <v>18</v>
      </c>
      <c r="C6" s="5">
        <f>15+0+5+0+15</f>
        <v>35</v>
      </c>
      <c r="D6" s="2">
        <f>0+0+4+0+0</f>
        <v>4</v>
      </c>
      <c r="E6" s="2">
        <f>0+0+5+0+0</f>
        <v>5</v>
      </c>
      <c r="F6" s="36">
        <f t="shared" ref="F6:F7" si="2">C6+D6+E6</f>
        <v>44</v>
      </c>
      <c r="G6" s="14">
        <v>1.0153356481481481</v>
      </c>
      <c r="H6" s="1"/>
      <c r="I6" s="9">
        <v>3</v>
      </c>
      <c r="J6" s="11" t="s">
        <v>20</v>
      </c>
      <c r="K6" s="5">
        <f>0+0+5+5+5</f>
        <v>15</v>
      </c>
      <c r="L6" s="2">
        <f>0+0+5+4+5</f>
        <v>14</v>
      </c>
      <c r="M6" s="2">
        <f>0+0+5+0+0</f>
        <v>5</v>
      </c>
      <c r="N6" s="36">
        <f t="shared" ref="N6:N8" si="3">K6+L6+M6</f>
        <v>34</v>
      </c>
      <c r="O6" s="14">
        <v>1.7673611111111109E-2</v>
      </c>
    </row>
    <row r="7" spans="1:15" ht="18" customHeight="1" x14ac:dyDescent="0.25">
      <c r="A7" s="9">
        <v>4</v>
      </c>
      <c r="B7" s="11" t="s">
        <v>6</v>
      </c>
      <c r="C7" s="5">
        <f>5+5+0+0+0</f>
        <v>10</v>
      </c>
      <c r="D7" s="2">
        <f>5+5+0+0+0</f>
        <v>10</v>
      </c>
      <c r="E7" s="2">
        <f>5+5+0+0+0</f>
        <v>10</v>
      </c>
      <c r="F7" s="36">
        <f t="shared" si="2"/>
        <v>30</v>
      </c>
      <c r="G7" s="14">
        <v>1.2361111111111113E-2</v>
      </c>
      <c r="H7" s="1"/>
      <c r="I7" s="9">
        <v>4</v>
      </c>
      <c r="J7" s="12" t="s">
        <v>28</v>
      </c>
      <c r="K7" s="5">
        <f>0+0+0+0+5</f>
        <v>5</v>
      </c>
      <c r="L7" s="2">
        <f>0+0+0+0+3</f>
        <v>3</v>
      </c>
      <c r="M7" s="2">
        <f>0+0+0+0+5</f>
        <v>5</v>
      </c>
      <c r="N7" s="36">
        <f t="shared" si="3"/>
        <v>13</v>
      </c>
      <c r="O7" s="14">
        <v>1.9629629629629629E-2</v>
      </c>
    </row>
    <row r="8" spans="1:15" ht="15.75" x14ac:dyDescent="0.25">
      <c r="A8" s="9">
        <v>5</v>
      </c>
      <c r="B8" s="11" t="s">
        <v>9</v>
      </c>
      <c r="C8" s="5">
        <f>0+5+0+5+0</f>
        <v>10</v>
      </c>
      <c r="D8" s="2">
        <f>0+2+0+1+0</f>
        <v>3</v>
      </c>
      <c r="E8" s="2">
        <f>0+5+0+5+0</f>
        <v>10</v>
      </c>
      <c r="F8" s="36">
        <f t="shared" ref="F8:F11" si="4">C8+D8+E8</f>
        <v>23</v>
      </c>
      <c r="G8" s="14">
        <v>1.8483796296296297E-2</v>
      </c>
      <c r="H8" s="1"/>
      <c r="I8" s="9">
        <v>5</v>
      </c>
      <c r="J8" s="11" t="s">
        <v>23</v>
      </c>
      <c r="K8" s="5">
        <f>0+0+0+5+0</f>
        <v>5</v>
      </c>
      <c r="L8" s="2">
        <f>0+0+0+0+0</f>
        <v>0</v>
      </c>
      <c r="M8" s="2">
        <f>0+0+0+0+0</f>
        <v>0</v>
      </c>
      <c r="N8" s="36">
        <f t="shared" si="3"/>
        <v>5</v>
      </c>
      <c r="O8" s="32" t="s">
        <v>24</v>
      </c>
    </row>
    <row r="9" spans="1:15" ht="15.75" x14ac:dyDescent="0.25">
      <c r="A9" s="9">
        <v>6</v>
      </c>
      <c r="B9" s="12" t="s">
        <v>21</v>
      </c>
      <c r="C9" s="5">
        <f>0+0+5+5+5</f>
        <v>15</v>
      </c>
      <c r="D9" s="2">
        <f>0+0+2+0+1</f>
        <v>3</v>
      </c>
      <c r="E9" s="2">
        <f>0+0+5+0+0</f>
        <v>5</v>
      </c>
      <c r="F9" s="36">
        <f t="shared" si="4"/>
        <v>23</v>
      </c>
      <c r="G9" s="14">
        <v>1.8657407407407407E-2</v>
      </c>
      <c r="H9" s="1"/>
      <c r="I9" s="9">
        <v>6</v>
      </c>
      <c r="J9" s="12"/>
      <c r="K9" s="5"/>
      <c r="L9" s="2"/>
      <c r="M9" s="2"/>
      <c r="N9" s="16"/>
      <c r="O9" s="22"/>
    </row>
    <row r="10" spans="1:15" ht="15.75" x14ac:dyDescent="0.25">
      <c r="A10" s="9">
        <v>7</v>
      </c>
      <c r="B10" s="11" t="s">
        <v>22</v>
      </c>
      <c r="C10" s="5">
        <f>0+0+0+5+5</f>
        <v>10</v>
      </c>
      <c r="D10" s="2">
        <f>0+0+0+4+3</f>
        <v>7</v>
      </c>
      <c r="E10" s="2">
        <f>0+0+0+5+0</f>
        <v>5</v>
      </c>
      <c r="F10" s="36">
        <f t="shared" si="4"/>
        <v>22</v>
      </c>
      <c r="G10" s="14">
        <v>1.5300925925925926E-2</v>
      </c>
      <c r="H10" s="1"/>
      <c r="I10" s="9">
        <v>7</v>
      </c>
      <c r="J10" s="11"/>
      <c r="K10" s="5"/>
      <c r="L10" s="2"/>
      <c r="M10" s="2"/>
      <c r="N10" s="36"/>
      <c r="O10" s="32"/>
    </row>
    <row r="11" spans="1:15" ht="15.75" x14ac:dyDescent="0.25">
      <c r="A11" s="9">
        <v>8</v>
      </c>
      <c r="B11" s="12" t="s">
        <v>26</v>
      </c>
      <c r="C11" s="5">
        <f>0+0+0+5+0</f>
        <v>5</v>
      </c>
      <c r="D11" s="2">
        <f>0+0+0+5+0</f>
        <v>5</v>
      </c>
      <c r="E11" s="2">
        <f>0+0+0+5+0</f>
        <v>5</v>
      </c>
      <c r="F11" s="36">
        <f t="shared" si="4"/>
        <v>15</v>
      </c>
      <c r="G11" s="14">
        <v>1.4710648148148148E-2</v>
      </c>
      <c r="H11" s="1"/>
      <c r="I11" s="9">
        <v>8</v>
      </c>
      <c r="J11" s="12"/>
      <c r="K11" s="5"/>
      <c r="L11" s="2"/>
      <c r="M11" s="2"/>
      <c r="N11" s="16"/>
      <c r="O11" s="22"/>
    </row>
    <row r="12" spans="1:15" ht="15.75" x14ac:dyDescent="0.25">
      <c r="A12" s="9">
        <v>9</v>
      </c>
      <c r="B12" s="11" t="s">
        <v>10</v>
      </c>
      <c r="C12" s="5">
        <f>5+0+0+0+0</f>
        <v>5</v>
      </c>
      <c r="D12" s="2">
        <f>4+0+0+0+0</f>
        <v>4</v>
      </c>
      <c r="E12" s="2">
        <f>5+0+0+0+0</f>
        <v>5</v>
      </c>
      <c r="F12" s="36">
        <f>C12+D12+E12</f>
        <v>14</v>
      </c>
      <c r="G12" s="14">
        <v>1.40625E-2</v>
      </c>
      <c r="H12" s="1"/>
      <c r="I12" s="9">
        <v>9</v>
      </c>
      <c r="J12" s="12"/>
      <c r="K12" s="5"/>
      <c r="L12" s="2"/>
      <c r="M12" s="2"/>
      <c r="N12" s="16"/>
      <c r="O12" s="22"/>
    </row>
    <row r="13" spans="1:15" ht="15.75" x14ac:dyDescent="0.25">
      <c r="A13" s="9">
        <v>10</v>
      </c>
      <c r="B13" s="11" t="s">
        <v>27</v>
      </c>
      <c r="C13" s="5">
        <f>0+0+0+0+5</f>
        <v>5</v>
      </c>
      <c r="D13" s="2">
        <f>0+0+0+0+2</f>
        <v>2</v>
      </c>
      <c r="E13" s="2">
        <f>0+0+0+0+5</f>
        <v>5</v>
      </c>
      <c r="F13" s="36">
        <f t="shared" ref="F13:F14" si="5">C13+D13+E13</f>
        <v>12</v>
      </c>
      <c r="G13" s="14">
        <v>1.7731481481481483E-2</v>
      </c>
      <c r="H13" s="1"/>
      <c r="I13" s="9">
        <v>10</v>
      </c>
      <c r="J13" s="12"/>
      <c r="K13" s="5"/>
      <c r="L13" s="2"/>
      <c r="M13" s="2"/>
      <c r="N13" s="16"/>
      <c r="O13" s="22"/>
    </row>
    <row r="14" spans="1:15" ht="15.75" x14ac:dyDescent="0.25">
      <c r="A14" s="9">
        <v>11</v>
      </c>
      <c r="B14" s="11" t="s">
        <v>11</v>
      </c>
      <c r="C14" s="5">
        <f>5+0+0+0+0</f>
        <v>5</v>
      </c>
      <c r="D14" s="2">
        <f>1+0+0+0+0</f>
        <v>1</v>
      </c>
      <c r="E14" s="2">
        <f>5+0+0+0+0</f>
        <v>5</v>
      </c>
      <c r="F14" s="36">
        <f t="shared" si="5"/>
        <v>11</v>
      </c>
      <c r="G14" s="14">
        <v>1.8252314814814815E-2</v>
      </c>
      <c r="H14" s="1"/>
      <c r="I14" s="9">
        <v>11</v>
      </c>
      <c r="J14" s="12"/>
      <c r="K14" s="5"/>
      <c r="L14" s="2"/>
      <c r="M14" s="2"/>
      <c r="N14" s="16"/>
      <c r="O14" s="22"/>
    </row>
    <row r="15" spans="1:15" ht="16.5" thickBot="1" x14ac:dyDescent="0.3">
      <c r="A15" s="10">
        <v>12</v>
      </c>
      <c r="B15" s="13"/>
      <c r="C15" s="6"/>
      <c r="D15" s="7"/>
      <c r="E15" s="7"/>
      <c r="F15" s="68"/>
      <c r="G15" s="69"/>
      <c r="H15" s="1"/>
      <c r="I15" s="10">
        <v>12</v>
      </c>
      <c r="J15" s="13"/>
      <c r="K15" s="6"/>
      <c r="L15" s="7"/>
      <c r="M15" s="7"/>
      <c r="N15" s="15"/>
      <c r="O15" s="23"/>
    </row>
    <row r="16" spans="1:15" ht="15.75" thickBot="1" x14ac:dyDescent="0.3">
      <c r="G16" s="70"/>
    </row>
    <row r="17" spans="1:9" ht="15.75" thickBot="1" x14ac:dyDescent="0.3">
      <c r="F17" s="43" t="s">
        <v>15</v>
      </c>
      <c r="G17" s="44"/>
      <c r="H17" s="45"/>
      <c r="I17" s="31" t="s">
        <v>19</v>
      </c>
    </row>
    <row r="18" spans="1:9" x14ac:dyDescent="0.25">
      <c r="F18" s="56" t="s">
        <v>2</v>
      </c>
      <c r="G18" s="57"/>
      <c r="H18" s="58"/>
      <c r="I18" s="30">
        <v>5</v>
      </c>
    </row>
    <row r="19" spans="1:9" ht="15" customHeight="1" x14ac:dyDescent="0.25">
      <c r="F19" s="62" t="s">
        <v>16</v>
      </c>
      <c r="G19" s="63"/>
      <c r="H19" s="27">
        <v>1</v>
      </c>
      <c r="I19" s="28">
        <v>5</v>
      </c>
    </row>
    <row r="20" spans="1:9" ht="16.5" customHeight="1" x14ac:dyDescent="0.25">
      <c r="F20" s="64"/>
      <c r="G20" s="65"/>
      <c r="H20" s="27">
        <v>2</v>
      </c>
      <c r="I20" s="28">
        <v>4</v>
      </c>
    </row>
    <row r="21" spans="1:9" x14ac:dyDescent="0.25">
      <c r="A21" s="41"/>
      <c r="B21" s="41"/>
      <c r="F21" s="64"/>
      <c r="G21" s="65"/>
      <c r="H21" s="27">
        <v>3</v>
      </c>
      <c r="I21" s="28">
        <v>3</v>
      </c>
    </row>
    <row r="22" spans="1:9" x14ac:dyDescent="0.25">
      <c r="F22" s="64"/>
      <c r="G22" s="65"/>
      <c r="H22" s="27">
        <v>4</v>
      </c>
      <c r="I22" s="28">
        <v>2</v>
      </c>
    </row>
    <row r="23" spans="1:9" x14ac:dyDescent="0.25">
      <c r="F23" s="66"/>
      <c r="G23" s="67"/>
      <c r="H23" s="27">
        <v>5</v>
      </c>
      <c r="I23" s="28">
        <v>1</v>
      </c>
    </row>
    <row r="24" spans="1:9" ht="47.25" customHeight="1" x14ac:dyDescent="0.25">
      <c r="F24" s="59" t="s">
        <v>12</v>
      </c>
      <c r="G24" s="60"/>
      <c r="H24" s="61"/>
      <c r="I24" s="28">
        <v>5</v>
      </c>
    </row>
    <row r="25" spans="1:9" ht="30" customHeight="1" thickBot="1" x14ac:dyDescent="0.3">
      <c r="F25" s="46" t="s">
        <v>17</v>
      </c>
      <c r="G25" s="47"/>
      <c r="H25" s="48"/>
      <c r="I25" s="29">
        <v>15</v>
      </c>
    </row>
  </sheetData>
  <mergeCells count="15">
    <mergeCell ref="O2:O3"/>
    <mergeCell ref="A21:B21"/>
    <mergeCell ref="A1:N1"/>
    <mergeCell ref="F17:H17"/>
    <mergeCell ref="F25:H25"/>
    <mergeCell ref="I2:I3"/>
    <mergeCell ref="J2:J3"/>
    <mergeCell ref="K2:N2"/>
    <mergeCell ref="F18:H18"/>
    <mergeCell ref="F24:H24"/>
    <mergeCell ref="C2:F2"/>
    <mergeCell ref="B2:B3"/>
    <mergeCell ref="A2:A3"/>
    <mergeCell ref="F19:G23"/>
    <mergeCell ref="G2:G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2018-09-09T17:01:55Z</dcterms:modified>
</cp:coreProperties>
</file>